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Я\OneDrive\Рабочий стол\пет-проект\икс5 груп\"/>
    </mc:Choice>
  </mc:AlternateContent>
  <xr:revisionPtr revIDLastSave="0" documentId="13_ncr:1_{0BB75E04-261F-40F5-938D-F2525C5FFD6F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Основные_Данные" sheetId="2" r:id="rId1"/>
    <sheet name="Форматы" sheetId="3" r:id="rId2"/>
    <sheet name="Сводная_по_сетям" sheetId="6" r:id="rId3"/>
    <sheet name="Анализ" sheetId="4" r:id="rId4"/>
    <sheet name="Дашборд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4" l="1"/>
  <c r="Q13" i="4"/>
  <c r="P13" i="4"/>
  <c r="O13" i="4"/>
  <c r="N13" i="4"/>
  <c r="M13" i="4"/>
  <c r="L13" i="4"/>
  <c r="K13" i="4"/>
  <c r="R12" i="4"/>
  <c r="Q12" i="4"/>
  <c r="P12" i="4"/>
  <c r="O12" i="4"/>
  <c r="N12" i="4"/>
  <c r="M12" i="4"/>
  <c r="L12" i="4"/>
  <c r="K12" i="4"/>
  <c r="R11" i="4"/>
  <c r="Q11" i="4"/>
  <c r="P11" i="4"/>
  <c r="O11" i="4"/>
  <c r="N11" i="4"/>
  <c r="M11" i="4"/>
  <c r="L11" i="4"/>
  <c r="K11" i="4"/>
  <c r="R10" i="4"/>
  <c r="Q10" i="4"/>
  <c r="P10" i="4"/>
  <c r="O10" i="4"/>
  <c r="N10" i="4"/>
  <c r="M10" i="4"/>
  <c r="L10" i="4"/>
  <c r="K10" i="4"/>
  <c r="R9" i="4"/>
  <c r="Q9" i="4"/>
  <c r="P9" i="4"/>
  <c r="O9" i="4"/>
  <c r="N9" i="4"/>
  <c r="M9" i="4"/>
  <c r="L9" i="4"/>
  <c r="K9" i="4"/>
  <c r="I6" i="4"/>
  <c r="H6" i="4"/>
  <c r="G6" i="4"/>
  <c r="F6" i="4"/>
  <c r="E6" i="4"/>
  <c r="D6" i="4"/>
  <c r="C6" i="4"/>
  <c r="B6" i="4"/>
  <c r="L5" i="4"/>
  <c r="I5" i="4"/>
  <c r="H5" i="4"/>
  <c r="G5" i="4"/>
  <c r="F5" i="4"/>
  <c r="E5" i="4"/>
  <c r="D5" i="4"/>
  <c r="C5" i="4"/>
  <c r="B5" i="4"/>
  <c r="L4" i="4"/>
  <c r="I4" i="4"/>
  <c r="H4" i="4"/>
  <c r="G4" i="4"/>
  <c r="F4" i="4"/>
  <c r="E4" i="4"/>
  <c r="D4" i="4"/>
  <c r="C4" i="4"/>
  <c r="B4" i="4"/>
  <c r="L3" i="4"/>
  <c r="I3" i="4"/>
  <c r="H3" i="4"/>
  <c r="G3" i="4"/>
  <c r="F3" i="4"/>
  <c r="E3" i="4"/>
  <c r="D3" i="4"/>
  <c r="C3" i="4"/>
  <c r="B3" i="4"/>
  <c r="L2" i="4"/>
  <c r="I2" i="4"/>
  <c r="H2" i="4"/>
  <c r="G2" i="4"/>
  <c r="F2" i="4"/>
  <c r="E2" i="4"/>
  <c r="T4" i="3"/>
  <c r="S4" i="3"/>
  <c r="R4" i="3"/>
  <c r="Q4" i="3"/>
  <c r="P4" i="3"/>
  <c r="O4" i="3"/>
  <c r="T3" i="3"/>
  <c r="S3" i="3"/>
  <c r="R3" i="3"/>
  <c r="Q3" i="3"/>
  <c r="P3" i="3"/>
  <c r="O3" i="3"/>
  <c r="T2" i="3"/>
  <c r="S2" i="3"/>
  <c r="R2" i="3"/>
  <c r="Q2" i="3"/>
  <c r="P2" i="3"/>
  <c r="O2" i="3"/>
  <c r="L16" i="3"/>
  <c r="K16" i="3"/>
  <c r="J16" i="3"/>
  <c r="I16" i="3"/>
  <c r="L15" i="3"/>
  <c r="K15" i="3"/>
  <c r="J15" i="3"/>
  <c r="I15" i="3"/>
  <c r="L14" i="3"/>
  <c r="K14" i="3"/>
  <c r="J14" i="3"/>
  <c r="I14" i="3"/>
  <c r="L13" i="3"/>
  <c r="K13" i="3"/>
  <c r="J13" i="3"/>
  <c r="I13" i="3"/>
  <c r="L12" i="3"/>
  <c r="K12" i="3"/>
  <c r="L11" i="3"/>
  <c r="K11" i="3"/>
  <c r="J11" i="3"/>
  <c r="I11" i="3"/>
  <c r="L10" i="3"/>
  <c r="K10" i="3"/>
  <c r="J10" i="3"/>
  <c r="I10" i="3"/>
  <c r="L9" i="3"/>
  <c r="K9" i="3"/>
  <c r="J9" i="3"/>
  <c r="I9" i="3"/>
  <c r="L8" i="3"/>
  <c r="K8" i="3"/>
  <c r="J8" i="3"/>
  <c r="I8" i="3"/>
  <c r="L7" i="3"/>
  <c r="K7" i="3"/>
  <c r="L6" i="3"/>
  <c r="K6" i="3"/>
  <c r="J6" i="3"/>
  <c r="I6" i="3"/>
  <c r="L5" i="3"/>
  <c r="K5" i="3"/>
  <c r="J5" i="3"/>
  <c r="I5" i="3"/>
  <c r="L4" i="3"/>
  <c r="K4" i="3"/>
  <c r="J4" i="3"/>
  <c r="I4" i="3"/>
  <c r="L3" i="3"/>
  <c r="K3" i="3"/>
  <c r="J3" i="3"/>
  <c r="I3" i="3"/>
  <c r="L2" i="3"/>
  <c r="K2" i="3"/>
</calcChain>
</file>

<file path=xl/sharedStrings.xml><?xml version="1.0" encoding="utf-8"?>
<sst xmlns="http://schemas.openxmlformats.org/spreadsheetml/2006/main" count="109" uniqueCount="54">
  <si>
    <t>Показатель</t>
  </si>
  <si>
    <t>Год</t>
  </si>
  <si>
    <t>Чистая розничная выручка, млрд ₽</t>
  </si>
  <si>
    <t>Выручка, млрд ₽</t>
  </si>
  <si>
    <t>Валовая прибыль, млрд ₽</t>
  </si>
  <si>
    <t>Валовая маржа</t>
  </si>
  <si>
    <t>Скорр. EBITDA, млрд ₽</t>
  </si>
  <si>
    <t>EBITDA маржа</t>
  </si>
  <si>
    <t>Чистая прибыль, млрд ₽</t>
  </si>
  <si>
    <t>Чистая маржа</t>
  </si>
  <si>
    <t>Торговая площадь, тыс. м²</t>
  </si>
  <si>
    <t>Количество магазинов</t>
  </si>
  <si>
    <t>Количество покупок, млн</t>
  </si>
  <si>
    <t>Рост выручки YoY</t>
  </si>
  <si>
    <t>Рост чистой прибыли YoY</t>
  </si>
  <si>
    <t>Рост магазинов YoY</t>
  </si>
  <si>
    <t xml:space="preserve"> Выручка на магазин, млн ₽ </t>
  </si>
  <si>
    <t>Выручка на 1 м², тыс. ₽</t>
  </si>
  <si>
    <t>Средний чек, ₽</t>
  </si>
  <si>
    <t xml:space="preserve"> Чистая маржа</t>
  </si>
  <si>
    <t>CAGR 2021–2025</t>
  </si>
  <si>
    <t>Выручка</t>
  </si>
  <si>
    <t>Чистая прибыль</t>
  </si>
  <si>
    <t>Торговая площадь</t>
  </si>
  <si>
    <t>EBITDA</t>
  </si>
  <si>
    <t>Магазины</t>
  </si>
  <si>
    <t>Сеть</t>
  </si>
  <si>
    <t>Покупки/посещения, млн</t>
  </si>
  <si>
    <t>LFL, %</t>
  </si>
  <si>
    <t>Пятёрочка</t>
  </si>
  <si>
    <t>Перекрёсток</t>
  </si>
  <si>
    <t>Чижик</t>
  </si>
  <si>
    <t>—</t>
  </si>
  <si>
    <t>Выручка на магазин, млн ₽</t>
  </si>
  <si>
    <t>-</t>
  </si>
  <si>
    <t>X5 Group — анализ результатов 2021–2025</t>
  </si>
  <si>
    <t>Сводная выручка по торговым сетям, 2021–2025</t>
  </si>
  <si>
    <t>Grand Total</t>
  </si>
  <si>
    <t>Row Labels</t>
  </si>
  <si>
    <t>2021</t>
  </si>
  <si>
    <t>2022</t>
  </si>
  <si>
    <t>2023</t>
  </si>
  <si>
    <t>2024</t>
  </si>
  <si>
    <t>2025</t>
  </si>
  <si>
    <t>Данные для визуализаций</t>
  </si>
  <si>
    <t>Ключевые выводы</t>
  </si>
  <si>
    <t>1. Рост выручки</t>
  </si>
  <si>
    <t>2. Давление на маржу</t>
  </si>
  <si>
    <t>3. Чижик — драйвер роста</t>
  </si>
  <si>
    <t>4. Эффективность форматов</t>
  </si>
  <si>
    <t>Выручка X5 выросла с 2 205 до 4 642 млрд ₽. CAGR за 2021–2025 составил 20,45% в год.</t>
  </si>
  <si>
    <t>Валовая маржа снизилась с 25,1% до 23,8%, а EBITDA-маржа — с 7,5% до 6,1%. Рост сопровождается более низкой рентабельностью.</t>
  </si>
  <si>
    <t>Доля «Чижика» в выручке трёх форматов выросла примерно с 0,1% до 9,2%. LFL в 2025 году — 26,1%, максимум среди трёх сетей.</t>
  </si>
  <si>
    <t>«Перекрёсток» лидирует по выручке на магазин: около 528,9 млн ₽ в 2025 году против 141,5 млн ₽ у «Пятёрочки» и 128,3 млн ₽ у «Чижика».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</si>
</sst>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\ _₽"/>
    <numFmt numFmtId="166" formatCode="#,##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22"/>
      <color rgb="FF05310A"/>
      <name val="Sans-serif"/>
      <charset val="204"/>
    </font>
    <font>
      <b/>
      <sz val="22"/>
      <color theme="0"/>
      <name val="Sans-serif"/>
      <charset val="204"/>
    </font>
    <font>
      <b/>
      <sz val="10"/>
      <color rgb="FFFFFFFF"/>
      <name val="Calibri"/>
    </font>
    <font>
      <sz val="10"/>
      <color rgb="FF1F2F24"/>
      <name val="Calibri"/>
    </font>
    <font>
      <b/>
      <sz val="11"/>
      <color rgb="FF063B19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1F2F24"/>
      <name val="Calibri"/>
    </font>
    <font>
      <sz val="9"/>
      <color rgb="FF1F2F24"/>
      <name val="Calibri"/>
    </font>
    <font>
      <sz val="10"/>
      <color theme="1"/>
      <name val="Arial Unicode MS"/>
    </font>
    <font>
      <b/>
      <sz val="10"/>
      <color rgb="FF063B19"/>
      <name val="Calibri"/>
    </font>
    <font>
      <sz val="10"/>
      <color rgb="FF26372B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7F8F5"/>
        <bgColor indexed="64"/>
      </patternFill>
    </fill>
    <fill>
      <patternFill patternType="solid">
        <fgColor rgb="FF063B19"/>
      </patternFill>
    </fill>
    <fill>
      <patternFill patternType="solid">
        <fgColor rgb="FFF5FAF4"/>
      </patternFill>
    </fill>
    <fill>
      <patternFill patternType="solid">
        <fgColor rgb="FFFFFFFF"/>
      </patternFill>
    </fill>
    <fill>
      <patternFill patternType="solid">
        <fgColor rgb="FFF3FAF2"/>
      </patternFill>
    </fill>
    <fill>
      <patternFill patternType="solid">
        <fgColor rgb="FFEAF2FB"/>
      </patternFill>
    </fill>
    <fill>
      <patternFill patternType="solid">
        <fgColor rgb="FFFFF6D8"/>
      </patternFill>
    </fill>
    <fill>
      <patternFill patternType="solid">
        <fgColor rgb="FF2F8F3A"/>
      </patternFill>
    </fill>
    <fill>
      <patternFill patternType="solid">
        <fgColor rgb="FFF7FBF6"/>
      </patternFill>
    </fill>
    <fill>
      <patternFill patternType="solid">
        <fgColor rgb="FFEAF6E7"/>
      </patternFill>
    </fill>
    <fill>
      <patternFill patternType="solid">
        <fgColor rgb="FFF6F8F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0" fontId="0" fillId="0" borderId="0" xfId="1" applyNumberFormat="1" applyFont="1" applyAlignment="1">
      <alignment horizontal="right" vertical="center" wrapText="1"/>
    </xf>
    <xf numFmtId="0" fontId="2" fillId="0" borderId="0" xfId="0" applyFont="1" applyAlignment="1">
      <alignment wrapText="1"/>
    </xf>
    <xf numFmtId="10" fontId="0" fillId="0" borderId="0" xfId="0" applyNumberFormat="1" applyAlignment="1">
      <alignment horizontal="right" vertical="center" wrapText="1"/>
    </xf>
    <xf numFmtId="164" fontId="0" fillId="0" borderId="0" xfId="1" applyNumberFormat="1" applyFont="1" applyAlignment="1">
      <alignment horizontal="right" vertical="center" wrapText="1"/>
    </xf>
    <xf numFmtId="3" fontId="0" fillId="0" borderId="0" xfId="0" applyNumberFormat="1" applyAlignment="1">
      <alignment vertical="center" wrapText="1"/>
    </xf>
    <xf numFmtId="3" fontId="3" fillId="0" borderId="0" xfId="0" applyNumberFormat="1" applyFont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 wrapText="1"/>
    </xf>
    <xf numFmtId="165" fontId="6" fillId="3" borderId="0" xfId="0" applyNumberFormat="1" applyFont="1" applyFill="1" applyAlignment="1">
      <alignment horizontal="center" vertical="center" wrapText="1"/>
    </xf>
    <xf numFmtId="3" fontId="6" fillId="3" borderId="0" xfId="0" applyNumberFormat="1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3" fontId="7" fillId="4" borderId="0" xfId="0" applyNumberFormat="1" applyFont="1" applyFill="1" applyAlignment="1">
      <alignment horizontal="right" vertical="center" wrapText="1"/>
    </xf>
    <xf numFmtId="166" fontId="7" fillId="4" borderId="0" xfId="0" applyNumberFormat="1" applyFont="1" applyFill="1" applyAlignment="1">
      <alignment horizontal="right" vertical="center" wrapText="1"/>
    </xf>
    <xf numFmtId="164" fontId="7" fillId="4" borderId="0" xfId="0" applyNumberFormat="1" applyFont="1" applyFill="1" applyAlignment="1">
      <alignment vertical="center" wrapText="1"/>
    </xf>
    <xf numFmtId="164" fontId="7" fillId="4" borderId="0" xfId="0" applyNumberFormat="1" applyFont="1" applyFill="1" applyAlignment="1">
      <alignment horizontal="right" vertical="center" wrapText="1"/>
    </xf>
    <xf numFmtId="0" fontId="7" fillId="5" borderId="0" xfId="0" applyFont="1" applyFill="1" applyAlignment="1">
      <alignment horizontal="center" vertical="center" wrapText="1"/>
    </xf>
    <xf numFmtId="3" fontId="7" fillId="5" borderId="0" xfId="0" applyNumberFormat="1" applyFont="1" applyFill="1" applyAlignment="1">
      <alignment horizontal="right" vertical="center" wrapText="1"/>
    </xf>
    <xf numFmtId="166" fontId="7" fillId="5" borderId="0" xfId="0" applyNumberFormat="1" applyFont="1" applyFill="1" applyAlignment="1">
      <alignment horizontal="right" vertical="center" wrapText="1"/>
    </xf>
    <xf numFmtId="164" fontId="7" fillId="5" borderId="0" xfId="0" applyNumberFormat="1" applyFont="1" applyFill="1" applyAlignment="1">
      <alignment vertical="center" wrapText="1"/>
    </xf>
    <xf numFmtId="164" fontId="7" fillId="5" borderId="0" xfId="0" applyNumberFormat="1" applyFont="1" applyFill="1" applyAlignment="1">
      <alignment horizontal="right" vertical="center" wrapText="1"/>
    </xf>
    <xf numFmtId="0" fontId="7" fillId="4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vertical="center"/>
    </xf>
    <xf numFmtId="165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0" fontId="7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left" vertical="center"/>
    </xf>
    <xf numFmtId="166" fontId="7" fillId="6" borderId="0" xfId="0" applyNumberFormat="1" applyFont="1" applyFill="1" applyAlignment="1">
      <alignment horizontal="right" vertical="center" wrapText="1"/>
    </xf>
    <xf numFmtId="3" fontId="7" fillId="6" borderId="0" xfId="0" applyNumberFormat="1" applyFont="1" applyFill="1" applyAlignment="1">
      <alignment horizontal="right" vertical="center" wrapText="1"/>
    </xf>
    <xf numFmtId="164" fontId="7" fillId="6" borderId="0" xfId="0" applyNumberFormat="1" applyFont="1" applyFill="1" applyAlignment="1">
      <alignment horizontal="right" vertical="center" wrapText="1"/>
    </xf>
    <xf numFmtId="164" fontId="7" fillId="6" borderId="0" xfId="0" applyNumberFormat="1" applyFont="1" applyFill="1" applyAlignment="1">
      <alignment horizontal="right" vertical="center"/>
    </xf>
    <xf numFmtId="166" fontId="7" fillId="6" borderId="0" xfId="0" applyNumberFormat="1" applyFont="1" applyFill="1" applyAlignment="1">
      <alignment horizontal="right" vertical="center"/>
    </xf>
    <xf numFmtId="0" fontId="7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left" vertical="center"/>
    </xf>
    <xf numFmtId="166" fontId="7" fillId="7" borderId="0" xfId="0" applyNumberFormat="1" applyFont="1" applyFill="1" applyAlignment="1">
      <alignment horizontal="right" vertical="center" wrapText="1"/>
    </xf>
    <xf numFmtId="3" fontId="7" fillId="7" borderId="0" xfId="0" applyNumberFormat="1" applyFont="1" applyFill="1" applyAlignment="1">
      <alignment horizontal="right" vertical="center" wrapText="1"/>
    </xf>
    <xf numFmtId="164" fontId="7" fillId="7" borderId="0" xfId="0" applyNumberFormat="1" applyFont="1" applyFill="1" applyAlignment="1">
      <alignment horizontal="right" vertical="center" wrapText="1"/>
    </xf>
    <xf numFmtId="164" fontId="7" fillId="7" borderId="0" xfId="0" applyNumberFormat="1" applyFont="1" applyFill="1" applyAlignment="1">
      <alignment horizontal="right" vertical="center"/>
    </xf>
    <xf numFmtId="166" fontId="7" fillId="7" borderId="0" xfId="0" applyNumberFormat="1" applyFont="1" applyFill="1" applyAlignment="1">
      <alignment horizontal="right" vertical="center"/>
    </xf>
    <xf numFmtId="0" fontId="7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left" vertical="center" wrapText="1"/>
    </xf>
    <xf numFmtId="166" fontId="7" fillId="8" borderId="0" xfId="0" applyNumberFormat="1" applyFont="1" applyFill="1" applyAlignment="1">
      <alignment horizontal="right" vertical="center" wrapText="1"/>
    </xf>
    <xf numFmtId="3" fontId="7" fillId="8" borderId="0" xfId="0" applyNumberFormat="1" applyFont="1" applyFill="1" applyAlignment="1">
      <alignment horizontal="right" vertical="center" wrapText="1"/>
    </xf>
    <xf numFmtId="164" fontId="7" fillId="8" borderId="0" xfId="0" applyNumberFormat="1" applyFont="1" applyFill="1" applyAlignment="1">
      <alignment horizontal="right" vertical="center" wrapText="1"/>
    </xf>
    <xf numFmtId="164" fontId="7" fillId="8" borderId="0" xfId="0" applyNumberFormat="1" applyFont="1" applyFill="1" applyAlignment="1">
      <alignment horizontal="right" vertical="center"/>
    </xf>
    <xf numFmtId="166" fontId="7" fillId="8" borderId="0" xfId="0" applyNumberFormat="1" applyFont="1" applyFill="1" applyAlignment="1">
      <alignment horizontal="right" vertical="center"/>
    </xf>
    <xf numFmtId="0" fontId="6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vertical="center" wrapText="1"/>
    </xf>
    <xf numFmtId="166" fontId="0" fillId="6" borderId="0" xfId="0" applyNumberFormat="1" applyFill="1" applyAlignment="1">
      <alignment horizontal="right" vertical="center" wrapText="1"/>
    </xf>
    <xf numFmtId="3" fontId="0" fillId="6" borderId="0" xfId="0" applyNumberFormat="1" applyFill="1" applyAlignment="1">
      <alignment horizontal="right" vertical="center" wrapText="1"/>
    </xf>
    <xf numFmtId="164" fontId="0" fillId="6" borderId="0" xfId="0" applyNumberFormat="1" applyFill="1" applyAlignment="1">
      <alignment horizontal="right" vertical="center" wrapText="1"/>
    </xf>
    <xf numFmtId="0" fontId="8" fillId="7" borderId="0" xfId="0" applyFont="1" applyFill="1" applyAlignment="1">
      <alignment vertical="center" wrapText="1"/>
    </xf>
    <xf numFmtId="166" fontId="0" fillId="7" borderId="0" xfId="0" applyNumberFormat="1" applyFill="1" applyAlignment="1">
      <alignment horizontal="right" vertical="center" wrapText="1"/>
    </xf>
    <xf numFmtId="3" fontId="0" fillId="7" borderId="0" xfId="0" applyNumberFormat="1" applyFill="1" applyAlignment="1">
      <alignment horizontal="right" vertical="center" wrapText="1"/>
    </xf>
    <xf numFmtId="164" fontId="0" fillId="7" borderId="0" xfId="0" applyNumberFormat="1" applyFill="1" applyAlignment="1">
      <alignment horizontal="right" vertical="center" wrapText="1"/>
    </xf>
    <xf numFmtId="0" fontId="8" fillId="8" borderId="0" xfId="0" applyFont="1" applyFill="1" applyAlignment="1">
      <alignment vertical="center" wrapText="1"/>
    </xf>
    <xf numFmtId="166" fontId="0" fillId="8" borderId="0" xfId="0" applyNumberFormat="1" applyFill="1" applyAlignment="1">
      <alignment horizontal="right" vertical="center" wrapText="1"/>
    </xf>
    <xf numFmtId="3" fontId="0" fillId="8" borderId="0" xfId="0" applyNumberFormat="1" applyFill="1" applyAlignment="1">
      <alignment horizontal="right" vertical="center" wrapText="1"/>
    </xf>
    <xf numFmtId="164" fontId="0" fillId="8" borderId="0" xfId="0" applyNumberFormat="1" applyFill="1" applyAlignment="1">
      <alignment horizontal="right" vertical="center" wrapText="1"/>
    </xf>
    <xf numFmtId="0" fontId="9" fillId="3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166" fontId="11" fillId="4" borderId="0" xfId="0" applyNumberFormat="1" applyFont="1" applyFill="1" applyAlignment="1">
      <alignment vertical="center"/>
    </xf>
    <xf numFmtId="0" fontId="11" fillId="5" borderId="0" xfId="0" applyFont="1" applyFill="1" applyAlignment="1">
      <alignment horizontal="left" vertical="center"/>
    </xf>
    <xf numFmtId="166" fontId="11" fillId="5" borderId="0" xfId="0" applyNumberFormat="1" applyFont="1" applyFill="1" applyAlignment="1">
      <alignment vertical="center"/>
    </xf>
    <xf numFmtId="0" fontId="10" fillId="9" borderId="0" xfId="0" applyFont="1" applyFill="1" applyAlignment="1">
      <alignment horizontal="center" vertical="center" wrapText="1"/>
    </xf>
    <xf numFmtId="166" fontId="7" fillId="4" borderId="0" xfId="0" applyNumberFormat="1" applyFont="1" applyFill="1" applyAlignment="1">
      <alignment vertical="center"/>
    </xf>
    <xf numFmtId="0" fontId="0" fillId="10" borderId="0" xfId="0" applyFill="1" applyAlignment="1">
      <alignment vertical="center" wrapText="1"/>
    </xf>
    <xf numFmtId="166" fontId="7" fillId="5" borderId="0" xfId="0" applyNumberFormat="1" applyFont="1" applyFill="1" applyAlignment="1">
      <alignment vertical="center"/>
    </xf>
    <xf numFmtId="0" fontId="8" fillId="11" borderId="0" xfId="0" applyFont="1" applyFill="1" applyAlignment="1">
      <alignment horizontal="left"/>
    </xf>
    <xf numFmtId="0" fontId="10" fillId="3" borderId="0" xfId="0" applyFont="1" applyFill="1" applyAlignment="1">
      <alignment horizontal="center" vertical="center" wrapText="1"/>
    </xf>
    <xf numFmtId="166" fontId="12" fillId="4" borderId="0" xfId="0" applyNumberFormat="1" applyFont="1" applyFill="1" applyAlignment="1">
      <alignment vertical="center" wrapText="1"/>
    </xf>
    <xf numFmtId="3" fontId="12" fillId="4" borderId="0" xfId="0" applyNumberFormat="1" applyFont="1" applyFill="1" applyAlignment="1">
      <alignment vertical="center" wrapText="1"/>
    </xf>
    <xf numFmtId="164" fontId="12" fillId="4" borderId="0" xfId="0" applyNumberFormat="1" applyFont="1" applyFill="1" applyAlignment="1">
      <alignment vertical="center" wrapText="1"/>
    </xf>
    <xf numFmtId="166" fontId="12" fillId="0" borderId="0" xfId="0" applyNumberFormat="1" applyFont="1" applyAlignment="1">
      <alignment vertical="center" wrapText="1"/>
    </xf>
    <xf numFmtId="3" fontId="12" fillId="0" borderId="0" xfId="0" applyNumberFormat="1" applyFont="1" applyAlignment="1">
      <alignment vertical="center" wrapText="1"/>
    </xf>
    <xf numFmtId="164" fontId="12" fillId="0" borderId="0" xfId="0" applyNumberFormat="1" applyFont="1" applyAlignment="1">
      <alignment vertical="center" wrapText="1"/>
    </xf>
    <xf numFmtId="0" fontId="13" fillId="0" borderId="0" xfId="0" applyFont="1"/>
    <xf numFmtId="164" fontId="0" fillId="10" borderId="0" xfId="0" applyNumberForma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12" borderId="0" xfId="0" applyFill="1"/>
    <xf numFmtId="0" fontId="14" fillId="11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center" vertical="top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2F8F3A"/>
      <color rgb="FFEAF6E7"/>
      <color rgb="FFE6EBE6"/>
      <color rgb="FF063B19"/>
      <color rgb="FF3E8ED0"/>
      <color rgb="FFF4C430"/>
      <color rgb="FF0F5A05"/>
      <color rgb="FFF7F8F5"/>
      <color rgb="FFFFFFFF"/>
      <color rgb="FF0531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 sz="1400">
                <a:solidFill>
                  <a:srgbClr val="05310A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Динамика выручки X5 Group</a:t>
            </a:r>
          </a:p>
        </c:rich>
      </c:tx>
      <c:layout>
        <c:manualLayout>
          <c:xMode val="edge"/>
          <c:yMode val="edge"/>
          <c:x val="0.2018090398583898"/>
          <c:y val="4.94726945383329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7142820810189424"/>
          <c:y val="0.20395386897420781"/>
          <c:w val="0.79304207613583189"/>
          <c:h val="0.6549373790339382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Анализ!$L$8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rgbClr val="2F8F3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4"/>
              <c:layout>
                <c:manualLayout>
                  <c:x val="3.2299741602065998E-3"/>
                  <c:y val="3.04136398708929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63-4BB9-BAF2-8585B8E305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5310A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Анализ!$K$9:$K$13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Анализ!$L$9:$L$13</c:f>
              <c:numCache>
                <c:formatCode>#\ ##0.0</c:formatCode>
                <c:ptCount val="5"/>
                <c:pt idx="0">
                  <c:v>2205</c:v>
                </c:pt>
                <c:pt idx="1">
                  <c:v>2605</c:v>
                </c:pt>
                <c:pt idx="2">
                  <c:v>3146</c:v>
                </c:pt>
                <c:pt idx="3">
                  <c:v>3908</c:v>
                </c:pt>
                <c:pt idx="4">
                  <c:v>4642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63-4BB9-BAF2-8585B8E30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0267216"/>
        <c:axId val="406387840"/>
      </c:barChart>
      <c:catAx>
        <c:axId val="42026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5310A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6387840"/>
        <c:crosses val="autoZero"/>
        <c:auto val="1"/>
        <c:lblAlgn val="ctr"/>
        <c:lblOffset val="100"/>
        <c:noMultiLvlLbl val="0"/>
      </c:catAx>
      <c:valAx>
        <c:axId val="40638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6EBE6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rgbClr val="05310A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600" b="0" i="1">
                    <a:solidFill>
                      <a:srgbClr val="05310A"/>
                    </a:solidFill>
                  </a:rPr>
                  <a:t>млрд ₽</a:t>
                </a:r>
              </a:p>
            </c:rich>
          </c:tx>
          <c:layout>
            <c:manualLayout>
              <c:xMode val="edge"/>
              <c:yMode val="edge"/>
              <c:x val="7.428940568475452E-2"/>
              <c:y val="9.351164507138584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rgbClr val="05310A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5310A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0267216"/>
        <c:crosses val="autoZero"/>
        <c:crossBetween val="between"/>
      </c:valAx>
      <c:spPr>
        <a:noFill/>
        <a:ln>
          <a:solidFill>
            <a:srgbClr val="E6EBE6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 sz="1400" b="1" i="0" u="none" strike="noStrike" baseline="0">
                <a:solidFill>
                  <a:srgbClr val="05310A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Динамика маржинальности X5 Group</a:t>
            </a:r>
            <a:endParaRPr lang="ru-RU" sz="1400">
              <a:solidFill>
                <a:srgbClr val="05310A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4155155605549305"/>
          <c:y val="3.72405551424125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Анализ!$P$8</c:f>
              <c:strCache>
                <c:ptCount val="1"/>
                <c:pt idx="0">
                  <c:v>Валовая маржа</c:v>
                </c:pt>
              </c:strCache>
            </c:strRef>
          </c:tx>
          <c:spPr>
            <a:ln w="31750" cap="rnd">
              <a:solidFill>
                <a:srgbClr val="063B19"/>
              </a:solidFill>
              <a:round/>
              <a:tailEnd type="none" w="med" len="med"/>
            </a:ln>
            <a:effectLst/>
          </c:spPr>
          <c:marker>
            <c:symbol val="square"/>
            <c:size val="5"/>
            <c:spPr>
              <a:solidFill>
                <a:srgbClr val="063B19"/>
              </a:solidFill>
              <a:ln w="9525">
                <a:solidFill>
                  <a:srgbClr val="063B19"/>
                </a:solidFill>
                <a:round/>
              </a:ln>
              <a:effectLst/>
            </c:spPr>
          </c:marker>
          <c:cat>
            <c:numRef>
              <c:f>Анализ!$K$9:$K$13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Анализ!$P$9:$P$13</c:f>
              <c:numCache>
                <c:formatCode>0.0%</c:formatCode>
                <c:ptCount val="5"/>
                <c:pt idx="0">
                  <c:v>0.251</c:v>
                </c:pt>
                <c:pt idx="1">
                  <c:v>0.24099999999999999</c:v>
                </c:pt>
                <c:pt idx="2">
                  <c:v>0.24099999999999999</c:v>
                </c:pt>
                <c:pt idx="3">
                  <c:v>0.24</c:v>
                </c:pt>
                <c:pt idx="4">
                  <c:v>0.23799999999999999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5-470F-BFEE-B9A73F3D26E5}"/>
            </c:ext>
          </c:extLst>
        </c:ser>
        <c:ser>
          <c:idx val="2"/>
          <c:order val="1"/>
          <c:tx>
            <c:strRef>
              <c:f>Анализ!$Q$8</c:f>
              <c:strCache>
                <c:ptCount val="1"/>
                <c:pt idx="0">
                  <c:v>EBITDA маржа</c:v>
                </c:pt>
              </c:strCache>
            </c:strRef>
          </c:tx>
          <c:spPr>
            <a:ln w="31750" cap="rnd">
              <a:solidFill>
                <a:srgbClr val="92D05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92D050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Анализ!$K$9:$K$13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Анализ!$Q$9:$Q$13</c:f>
              <c:numCache>
                <c:formatCode>0.0%</c:formatCode>
                <c:ptCount val="5"/>
                <c:pt idx="0">
                  <c:v>7.4999999999999997E-2</c:v>
                </c:pt>
                <c:pt idx="1">
                  <c:v>7.2999999999999995E-2</c:v>
                </c:pt>
                <c:pt idx="2">
                  <c:v>6.9000000000000006E-2</c:v>
                </c:pt>
                <c:pt idx="3">
                  <c:v>6.6000000000000003E-2</c:v>
                </c:pt>
                <c:pt idx="4">
                  <c:v>6.0999999999999999E-2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45-470F-BFEE-B9A73F3D26E5}"/>
            </c:ext>
          </c:extLst>
        </c:ser>
        <c:ser>
          <c:idx val="3"/>
          <c:order val="2"/>
          <c:tx>
            <c:strRef>
              <c:f>Анализ!$R$8</c:f>
              <c:strCache>
                <c:ptCount val="1"/>
                <c:pt idx="0">
                  <c:v>Чистая маржа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Анализ!$K$9:$K$13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Анализ!$R$9:$R$13</c:f>
              <c:numCache>
                <c:formatCode>0.0%</c:formatCode>
                <c:ptCount val="5"/>
                <c:pt idx="0">
                  <c:v>2.4E-2</c:v>
                </c:pt>
                <c:pt idx="1">
                  <c:v>0.02</c:v>
                </c:pt>
                <c:pt idx="2">
                  <c:v>2.9000000000000001E-2</c:v>
                </c:pt>
                <c:pt idx="3">
                  <c:v>2.8000000000000001E-2</c:v>
                </c:pt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45-470F-BFEE-B9A73F3D2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5706992"/>
        <c:axId val="923193408"/>
      </c:lineChart>
      <c:catAx>
        <c:axId val="91570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5310A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3193408"/>
        <c:crosses val="autoZero"/>
        <c:auto val="1"/>
        <c:lblAlgn val="ctr"/>
        <c:lblOffset val="100"/>
        <c:noMultiLvlLbl val="0"/>
      </c:catAx>
      <c:valAx>
        <c:axId val="9231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6EBE6"/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5310A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5706992"/>
        <c:crosses val="autoZero"/>
        <c:crossBetween val="between"/>
      </c:valAx>
      <c:spPr>
        <a:noFill/>
        <a:ln>
          <a:solidFill>
            <a:srgbClr val="E6EBE6"/>
          </a:solidFill>
        </a:ln>
        <a:effectLst/>
      </c:spPr>
    </c:plotArea>
    <c:legend>
      <c:legendPos val="b"/>
      <c:layout>
        <c:manualLayout>
          <c:xMode val="edge"/>
          <c:yMode val="edge"/>
          <c:x val="0.10190835520559931"/>
          <c:y val="0.89409667541557303"/>
          <c:w val="0.7961832895888012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5310A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 sz="1400" b="1" i="0" u="none" strike="noStrike" baseline="0">
                <a:solidFill>
                  <a:srgbClr val="05310A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Структура выручки торговых сетей X5</a:t>
            </a:r>
            <a:endParaRPr lang="ru-RU" sz="1200">
              <a:solidFill>
                <a:srgbClr val="05310A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5015977371760569"/>
          <c:y val="1.9808958306441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E8ED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F8F3A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4C43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v>Перекрёсток</c:v>
          </c:tx>
          <c:spPr>
            <a:solidFill>
              <a:srgbClr val="3E8ED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349</c:v>
              </c:pt>
              <c:pt idx="1">
                <c:v>385</c:v>
              </c:pt>
              <c:pt idx="2">
                <c:v>419</c:v>
              </c:pt>
              <c:pt idx="3">
                <c:v>491</c:v>
              </c:pt>
              <c:pt idx="4">
                <c:v>531</c:v>
              </c:pt>
            </c:numLit>
          </c:val>
          <c:extLst>
            <c:ext xmlns:c16="http://schemas.microsoft.com/office/drawing/2014/chart" uri="{C3380CC4-5D6E-409C-BE32-E72D297353CC}">
              <c16:uniqueId val="{00000000-3F09-4422-B016-1A76F87F852E}"/>
            </c:ext>
          </c:extLst>
        </c:ser>
        <c:ser>
          <c:idx val="1"/>
          <c:order val="1"/>
          <c:tx>
            <c:v>Пятёрочка</c:v>
          </c:tx>
          <c:spPr>
            <a:solidFill>
              <a:srgbClr val="2F8F3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1794</c:v>
              </c:pt>
              <c:pt idx="1">
                <c:v>2137</c:v>
              </c:pt>
              <c:pt idx="2">
                <c:v>2571</c:v>
              </c:pt>
              <c:pt idx="3">
                <c:v>3114</c:v>
              </c:pt>
              <c:pt idx="4">
                <c:v>3614</c:v>
              </c:pt>
            </c:numLit>
          </c:val>
          <c:extLst>
            <c:ext xmlns:c16="http://schemas.microsoft.com/office/drawing/2014/chart" uri="{C3380CC4-5D6E-409C-BE32-E72D297353CC}">
              <c16:uniqueId val="{00000001-3F09-4422-B016-1A76F87F852E}"/>
            </c:ext>
          </c:extLst>
        </c:ser>
        <c:ser>
          <c:idx val="2"/>
          <c:order val="2"/>
          <c:tx>
            <c:v>Чижик</c:v>
          </c:tx>
          <c:spPr>
            <a:solidFill>
              <a:srgbClr val="F4C43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2.9</c:v>
              </c:pt>
              <c:pt idx="1">
                <c:v>35.9</c:v>
              </c:pt>
              <c:pt idx="2">
                <c:v>118.4</c:v>
              </c:pt>
              <c:pt idx="3">
                <c:v>249.5</c:v>
              </c:pt>
              <c:pt idx="4">
                <c:v>417.5</c:v>
              </c:pt>
            </c:numLit>
          </c:val>
          <c:extLst>
            <c:ext xmlns:c16="http://schemas.microsoft.com/office/drawing/2014/chart" uri="{C3380CC4-5D6E-409C-BE32-E72D297353CC}">
              <c16:uniqueId val="{00000002-3F09-4422-B016-1A76F87F8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5827919"/>
        <c:axId val="562387711"/>
      </c:barChart>
      <c:catAx>
        <c:axId val="52582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5310A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2387711"/>
        <c:crosses val="autoZero"/>
        <c:auto val="1"/>
        <c:lblAlgn val="ctr"/>
        <c:lblOffset val="100"/>
        <c:noMultiLvlLbl val="0"/>
      </c:catAx>
      <c:valAx>
        <c:axId val="56238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6EBE6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5310A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5827919"/>
        <c:crosses val="autoZero"/>
        <c:crossBetween val="between"/>
      </c:valAx>
      <c:spPr>
        <a:noFill/>
        <a:ln>
          <a:solidFill>
            <a:srgbClr val="E6EBE6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5310A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 sz="1400" b="1" i="0" u="none" strike="noStrike" baseline="0">
                <a:solidFill>
                  <a:srgbClr val="05310A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LFL продаж по торговым сетям, 2025</a:t>
            </a:r>
            <a:endParaRPr lang="en-US" sz="1400">
              <a:solidFill>
                <a:srgbClr val="05310A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Форматы!$T$1</c:f>
              <c:strCache>
                <c:ptCount val="1"/>
                <c:pt idx="0">
                  <c:v>LFL, 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2F8F3A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B5-4B0C-AB96-47969BD06A2D}"/>
              </c:ext>
            </c:extLst>
          </c:dPt>
          <c:dPt>
            <c:idx val="1"/>
            <c:invertIfNegative val="0"/>
            <c:bubble3D val="0"/>
            <c:spPr>
              <a:solidFill>
                <a:srgbClr val="3E8ED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0B5-4B0C-AB96-47969BD06A2D}"/>
              </c:ext>
            </c:extLst>
          </c:dPt>
          <c:dPt>
            <c:idx val="2"/>
            <c:invertIfNegative val="0"/>
            <c:bubble3D val="0"/>
            <c:spPr>
              <a:solidFill>
                <a:srgbClr val="F4C43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B5-4B0C-AB96-47969BD06A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5310A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Форматы!$N$2:$N$4</c:f>
              <c:strCache>
                <c:ptCount val="3"/>
                <c:pt idx="0">
                  <c:v>Пятёрочка</c:v>
                </c:pt>
                <c:pt idx="1">
                  <c:v>Перекрёсток</c:v>
                </c:pt>
                <c:pt idx="2">
                  <c:v>Чижик</c:v>
                </c:pt>
              </c:strCache>
            </c:strRef>
          </c:cat>
          <c:val>
            <c:numRef>
              <c:f>Форматы!$T$2:$T$4</c:f>
              <c:numCache>
                <c:formatCode>0.0%</c:formatCode>
                <c:ptCount val="3"/>
                <c:pt idx="0">
                  <c:v>0.106</c:v>
                </c:pt>
                <c:pt idx="1">
                  <c:v>7.6999999999999999E-2</c:v>
                </c:pt>
                <c:pt idx="2">
                  <c:v>0.26100000000000001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5-4B0C-AB96-47969BD06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82293039"/>
        <c:axId val="1498210687"/>
      </c:barChart>
      <c:catAx>
        <c:axId val="1682293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5310A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498210687"/>
        <c:crosses val="autoZero"/>
        <c:auto val="1"/>
        <c:lblAlgn val="ctr"/>
        <c:lblOffset val="100"/>
        <c:noMultiLvlLbl val="0"/>
      </c:catAx>
      <c:valAx>
        <c:axId val="149821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6EBE6"/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5310A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2293039"/>
        <c:crosses val="autoZero"/>
        <c:crossBetween val="between"/>
      </c:valAx>
      <c:spPr>
        <a:noFill/>
        <a:ln cap="rnd">
          <a:solidFill>
            <a:srgbClr val="E6EBE6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12" Type="http://schemas.openxmlformats.org/officeDocument/2006/relationships/image" Target="../media/image8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11" Type="http://schemas.openxmlformats.org/officeDocument/2006/relationships/image" Target="../media/image7.png"/><Relationship Id="rId5" Type="http://schemas.openxmlformats.org/officeDocument/2006/relationships/image" Target="../media/image1.png"/><Relationship Id="rId10" Type="http://schemas.openxmlformats.org/officeDocument/2006/relationships/image" Target="../media/image6.svg"/><Relationship Id="rId4" Type="http://schemas.openxmlformats.org/officeDocument/2006/relationships/chart" Target="../charts/chart4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4</xdr:row>
      <xdr:rowOff>30480</xdr:rowOff>
    </xdr:from>
    <xdr:to>
      <xdr:col>3</xdr:col>
      <xdr:colOff>251460</xdr:colOff>
      <xdr:row>8</xdr:row>
      <xdr:rowOff>83820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449AD5FC-5EF8-66F3-0326-8018611DAC6C}"/>
            </a:ext>
          </a:extLst>
        </xdr:cNvPr>
        <xdr:cNvSpPr/>
      </xdr:nvSpPr>
      <xdr:spPr>
        <a:xfrm>
          <a:off x="152400" y="762000"/>
          <a:ext cx="1927860" cy="78486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ru-RU" b="1" i="0" u="none" strike="noStrike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411480</xdr:colOff>
      <xdr:row>4</xdr:row>
      <xdr:rowOff>38100</xdr:rowOff>
    </xdr:from>
    <xdr:to>
      <xdr:col>6</xdr:col>
      <xdr:colOff>510540</xdr:colOff>
      <xdr:row>8</xdr:row>
      <xdr:rowOff>91440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7A8356E4-9F14-4758-A114-F0EB077D650D}"/>
            </a:ext>
          </a:extLst>
        </xdr:cNvPr>
        <xdr:cNvSpPr/>
      </xdr:nvSpPr>
      <xdr:spPr>
        <a:xfrm>
          <a:off x="2240280" y="769620"/>
          <a:ext cx="1927860" cy="78486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200"/>
        </a:p>
      </xdr:txBody>
    </xdr:sp>
    <xdr:clientData/>
  </xdr:twoCellAnchor>
  <xdr:twoCellAnchor>
    <xdr:from>
      <xdr:col>7</xdr:col>
      <xdr:colOff>60960</xdr:colOff>
      <xdr:row>4</xdr:row>
      <xdr:rowOff>38100</xdr:rowOff>
    </xdr:from>
    <xdr:to>
      <xdr:col>10</xdr:col>
      <xdr:colOff>198120</xdr:colOff>
      <xdr:row>8</xdr:row>
      <xdr:rowOff>91440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937986D1-B12A-40B7-B963-34226815B703}"/>
            </a:ext>
          </a:extLst>
        </xdr:cNvPr>
        <xdr:cNvSpPr/>
      </xdr:nvSpPr>
      <xdr:spPr>
        <a:xfrm>
          <a:off x="4328160" y="780222"/>
          <a:ext cx="1965960" cy="795461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350520</xdr:colOff>
      <xdr:row>4</xdr:row>
      <xdr:rowOff>38100</xdr:rowOff>
    </xdr:from>
    <xdr:to>
      <xdr:col>13</xdr:col>
      <xdr:colOff>449580</xdr:colOff>
      <xdr:row>8</xdr:row>
      <xdr:rowOff>91440</xdr:rowOff>
    </xdr:to>
    <xdr:sp macro="" textlink="">
      <xdr:nvSpPr>
        <xdr:cNvPr id="6" name="Прямоугольник: скругленные углы 5">
          <a:extLst>
            <a:ext uri="{FF2B5EF4-FFF2-40B4-BE49-F238E27FC236}">
              <a16:creationId xmlns:a16="http://schemas.microsoft.com/office/drawing/2014/main" id="{CC2178F4-1E9B-4318-82B9-BCD444607632}"/>
            </a:ext>
          </a:extLst>
        </xdr:cNvPr>
        <xdr:cNvSpPr/>
      </xdr:nvSpPr>
      <xdr:spPr>
        <a:xfrm>
          <a:off x="6446520" y="769620"/>
          <a:ext cx="1927860" cy="78486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411480</xdr:colOff>
      <xdr:row>4</xdr:row>
      <xdr:rowOff>53340</xdr:rowOff>
    </xdr:from>
    <xdr:to>
      <xdr:col>3</xdr:col>
      <xdr:colOff>30480</xdr:colOff>
      <xdr:row>5</xdr:row>
      <xdr:rowOff>76200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E2A1BC2-AE3B-4DD7-7D17-70330009CEFE}"/>
            </a:ext>
          </a:extLst>
        </xdr:cNvPr>
        <xdr:cNvSpPr txBox="1"/>
      </xdr:nvSpPr>
      <xdr:spPr>
        <a:xfrm>
          <a:off x="411480" y="784860"/>
          <a:ext cx="1447800" cy="205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>
              <a:solidFill>
                <a:srgbClr val="0F5A0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Выручка</a:t>
          </a:r>
          <a:r>
            <a:rPr lang="ru-RU" sz="1200" baseline="0">
              <a:solidFill>
                <a:srgbClr val="0F5A0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2025</a:t>
          </a:r>
          <a:endParaRPr lang="ru-RU" sz="1200">
            <a:solidFill>
              <a:srgbClr val="0F5A05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396240</xdr:colOff>
      <xdr:row>5</xdr:row>
      <xdr:rowOff>53340</xdr:rowOff>
    </xdr:from>
    <xdr:to>
      <xdr:col>2</xdr:col>
      <xdr:colOff>281940</xdr:colOff>
      <xdr:row>8</xdr:row>
      <xdr:rowOff>0</xdr:rowOff>
    </xdr:to>
    <xdr:sp macro="" textlink="Основные_Данные!C6">
      <xdr:nvSpPr>
        <xdr:cNvPr id="13" name="TextBox 12">
          <a:extLst>
            <a:ext uri="{FF2B5EF4-FFF2-40B4-BE49-F238E27FC236}">
              <a16:creationId xmlns:a16="http://schemas.microsoft.com/office/drawing/2014/main" id="{97F7613E-4EF0-3FA7-7D97-57F6A5CC522A}"/>
            </a:ext>
          </a:extLst>
        </xdr:cNvPr>
        <xdr:cNvSpPr txBox="1"/>
      </xdr:nvSpPr>
      <xdr:spPr>
        <a:xfrm>
          <a:off x="396240" y="967740"/>
          <a:ext cx="110490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A263F1F-EA6B-47FA-99E1-5CA3C682667E}" type="TxLink">
            <a:rPr lang="en-US" sz="2800" b="1" i="0" u="none" strike="noStrike">
              <a:solidFill>
                <a:srgbClr val="05310A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/>
            <a:t>4 642</a:t>
          </a:fld>
          <a:endParaRPr lang="ru-RU" sz="2800" b="1">
            <a:solidFill>
              <a:srgbClr val="05310A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76200</xdr:colOff>
      <xdr:row>6</xdr:row>
      <xdr:rowOff>30480</xdr:rowOff>
    </xdr:from>
    <xdr:to>
      <xdr:col>3</xdr:col>
      <xdr:colOff>205740</xdr:colOff>
      <xdr:row>7</xdr:row>
      <xdr:rowOff>106680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687CF74-765D-5F9A-44EA-2B02C16EE096}"/>
            </a:ext>
          </a:extLst>
        </xdr:cNvPr>
        <xdr:cNvSpPr txBox="1"/>
      </xdr:nvSpPr>
      <xdr:spPr>
        <a:xfrm>
          <a:off x="1295400" y="1127760"/>
          <a:ext cx="73914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solidFill>
                <a:srgbClr val="05310A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млрд</a:t>
          </a:r>
          <a:r>
            <a:rPr lang="ru-RU" sz="1200">
              <a:solidFill>
                <a:srgbClr val="05310A"/>
              </a:solidFill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rgbClr val="05310A"/>
              </a:solidFill>
              <a:latin typeface="+mn-lt"/>
              <a:ea typeface="+mn-ea"/>
              <a:cs typeface="+mn-cs"/>
            </a:rPr>
            <a:t> </a:t>
          </a:r>
          <a:r>
            <a:rPr lang="ru-RU" sz="1200">
              <a:solidFill>
                <a:srgbClr val="05310A"/>
              </a:solidFill>
              <a:latin typeface="+mn-lt"/>
              <a:ea typeface="+mn-ea"/>
              <a:cs typeface="+mn-cs"/>
            </a:rPr>
            <a:t>₽</a:t>
          </a:r>
          <a:endParaRPr lang="ru-RU" sz="1200">
            <a:solidFill>
              <a:srgbClr val="05310A"/>
            </a:solidFill>
          </a:endParaRPr>
        </a:p>
      </xdr:txBody>
    </xdr:sp>
    <xdr:clientData/>
  </xdr:twoCellAnchor>
  <xdr:twoCellAnchor>
    <xdr:from>
      <xdr:col>4</xdr:col>
      <xdr:colOff>60960</xdr:colOff>
      <xdr:row>4</xdr:row>
      <xdr:rowOff>83820</xdr:rowOff>
    </xdr:from>
    <xdr:to>
      <xdr:col>6</xdr:col>
      <xdr:colOff>472440</xdr:colOff>
      <xdr:row>5</xdr:row>
      <xdr:rowOff>121920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623DEB7-CE98-4C58-A8FF-488887E5E10C}"/>
            </a:ext>
          </a:extLst>
        </xdr:cNvPr>
        <xdr:cNvSpPr txBox="1"/>
      </xdr:nvSpPr>
      <xdr:spPr>
        <a:xfrm>
          <a:off x="2499360" y="815340"/>
          <a:ext cx="163068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>
              <a:solidFill>
                <a:srgbClr val="0F5A0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Чистая прибыль 2025</a:t>
          </a:r>
        </a:p>
      </xdr:txBody>
    </xdr:sp>
    <xdr:clientData/>
  </xdr:twoCellAnchor>
  <xdr:twoCellAnchor>
    <xdr:from>
      <xdr:col>4</xdr:col>
      <xdr:colOff>7620</xdr:colOff>
      <xdr:row>5</xdr:row>
      <xdr:rowOff>60960</xdr:rowOff>
    </xdr:from>
    <xdr:to>
      <xdr:col>5</xdr:col>
      <xdr:colOff>502920</xdr:colOff>
      <xdr:row>8</xdr:row>
      <xdr:rowOff>7620</xdr:rowOff>
    </xdr:to>
    <xdr:sp macro="" textlink="Основные_Данные!H6">
      <xdr:nvSpPr>
        <xdr:cNvPr id="18" name="TextBox 17">
          <a:extLst>
            <a:ext uri="{FF2B5EF4-FFF2-40B4-BE49-F238E27FC236}">
              <a16:creationId xmlns:a16="http://schemas.microsoft.com/office/drawing/2014/main" id="{20C5C0DC-9CEF-4ACA-A71D-A06DEE9AD188}"/>
            </a:ext>
          </a:extLst>
        </xdr:cNvPr>
        <xdr:cNvSpPr txBox="1"/>
      </xdr:nvSpPr>
      <xdr:spPr>
        <a:xfrm>
          <a:off x="2446020" y="975360"/>
          <a:ext cx="110490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FCCE974-93B5-4B6E-A7D5-CC2131EB5D6A}" type="TxLink">
            <a:rPr lang="en-US" sz="2800" b="1" i="0" u="none" strike="noStrike">
              <a:solidFill>
                <a:srgbClr val="05310A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/>
            <a:t>94,8</a:t>
          </a:fld>
          <a:endParaRPr lang="ru-RU" sz="2800" b="1">
            <a:solidFill>
              <a:srgbClr val="05310A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145677</xdr:colOff>
      <xdr:row>6</xdr:row>
      <xdr:rowOff>21515</xdr:rowOff>
    </xdr:from>
    <xdr:to>
      <xdr:col>6</xdr:col>
      <xdr:colOff>275217</xdr:colOff>
      <xdr:row>7</xdr:row>
      <xdr:rowOff>97715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BC57D5A-7329-4B55-951B-6975C7DBE64F}"/>
            </a:ext>
          </a:extLst>
        </xdr:cNvPr>
        <xdr:cNvSpPr txBox="1"/>
      </xdr:nvSpPr>
      <xdr:spPr>
        <a:xfrm>
          <a:off x="3193677" y="1097280"/>
          <a:ext cx="739140" cy="255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solidFill>
                <a:srgbClr val="05310A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млрд</a:t>
          </a:r>
          <a:r>
            <a:rPr lang="ru-RU" sz="1200">
              <a:solidFill>
                <a:srgbClr val="05310A"/>
              </a:solidFill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rgbClr val="05310A"/>
              </a:solidFill>
              <a:latin typeface="+mn-lt"/>
              <a:ea typeface="+mn-ea"/>
              <a:cs typeface="+mn-cs"/>
            </a:rPr>
            <a:t> </a:t>
          </a:r>
          <a:r>
            <a:rPr lang="ru-RU" sz="1200">
              <a:solidFill>
                <a:srgbClr val="05310A"/>
              </a:solidFill>
              <a:latin typeface="+mn-lt"/>
              <a:ea typeface="+mn-ea"/>
              <a:cs typeface="+mn-cs"/>
            </a:rPr>
            <a:t>₽</a:t>
          </a:r>
          <a:endParaRPr lang="ru-RU" sz="1200">
            <a:solidFill>
              <a:srgbClr val="05310A"/>
            </a:solidFill>
          </a:endParaRPr>
        </a:p>
      </xdr:txBody>
    </xdr:sp>
    <xdr:clientData/>
  </xdr:twoCellAnchor>
  <xdr:twoCellAnchor>
    <xdr:from>
      <xdr:col>7</xdr:col>
      <xdr:colOff>86138</xdr:colOff>
      <xdr:row>4</xdr:row>
      <xdr:rowOff>45720</xdr:rowOff>
    </xdr:from>
    <xdr:to>
      <xdr:col>10</xdr:col>
      <xdr:colOff>289559</xdr:colOff>
      <xdr:row>5</xdr:row>
      <xdr:rowOff>91440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90921FD-5361-4D0E-B4D0-08F8D7680A16}"/>
            </a:ext>
          </a:extLst>
        </xdr:cNvPr>
        <xdr:cNvSpPr txBox="1"/>
      </xdr:nvSpPr>
      <xdr:spPr>
        <a:xfrm>
          <a:off x="4353338" y="787842"/>
          <a:ext cx="2032221" cy="231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>
              <a:solidFill>
                <a:srgbClr val="0F5A0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Количество магазинов 2025</a:t>
          </a:r>
        </a:p>
      </xdr:txBody>
    </xdr:sp>
    <xdr:clientData/>
  </xdr:twoCellAnchor>
  <xdr:twoCellAnchor>
    <xdr:from>
      <xdr:col>7</xdr:col>
      <xdr:colOff>259080</xdr:colOff>
      <xdr:row>5</xdr:row>
      <xdr:rowOff>60960</xdr:rowOff>
    </xdr:from>
    <xdr:to>
      <xdr:col>9</xdr:col>
      <xdr:colOff>441960</xdr:colOff>
      <xdr:row>7</xdr:row>
      <xdr:rowOff>106680</xdr:rowOff>
    </xdr:to>
    <xdr:sp macro="" textlink="Основные_Данные!K6">
      <xdr:nvSpPr>
        <xdr:cNvPr id="21" name="TextBox 20">
          <a:extLst>
            <a:ext uri="{FF2B5EF4-FFF2-40B4-BE49-F238E27FC236}">
              <a16:creationId xmlns:a16="http://schemas.microsoft.com/office/drawing/2014/main" id="{94B25547-3BB2-0023-D62D-F006C67FA334}"/>
            </a:ext>
          </a:extLst>
        </xdr:cNvPr>
        <xdr:cNvSpPr txBox="1"/>
      </xdr:nvSpPr>
      <xdr:spPr>
        <a:xfrm>
          <a:off x="4526280" y="988612"/>
          <a:ext cx="1402080" cy="4167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F72DDD0-496B-4B57-A35C-11001992486E}" type="TxLink">
            <a:rPr lang="en-US" sz="2800" b="1" i="0" u="none" strike="noStrike">
              <a:solidFill>
                <a:srgbClr val="05310A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/>
            <a:t>29 790</a:t>
          </a:fld>
          <a:endParaRPr lang="ru-RU" sz="2800" b="1">
            <a:solidFill>
              <a:srgbClr val="05310A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373380</xdr:colOff>
      <xdr:row>4</xdr:row>
      <xdr:rowOff>45720</xdr:rowOff>
    </xdr:from>
    <xdr:to>
      <xdr:col>13</xdr:col>
      <xdr:colOff>594360</xdr:colOff>
      <xdr:row>5</xdr:row>
      <xdr:rowOff>91440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A9BF460-CEC6-403E-932A-2038D44FA082}"/>
            </a:ext>
          </a:extLst>
        </xdr:cNvPr>
        <xdr:cNvSpPr txBox="1"/>
      </xdr:nvSpPr>
      <xdr:spPr>
        <a:xfrm>
          <a:off x="6469380" y="777240"/>
          <a:ext cx="20497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0F5A0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CAGR </a:t>
          </a:r>
          <a:r>
            <a:rPr lang="ru-RU" sz="1200">
              <a:solidFill>
                <a:srgbClr val="0F5A0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выручки 2021-2025</a:t>
          </a:r>
        </a:p>
      </xdr:txBody>
    </xdr:sp>
    <xdr:clientData/>
  </xdr:twoCellAnchor>
  <xdr:twoCellAnchor>
    <xdr:from>
      <xdr:col>10</xdr:col>
      <xdr:colOff>556260</xdr:colOff>
      <xdr:row>5</xdr:row>
      <xdr:rowOff>68580</xdr:rowOff>
    </xdr:from>
    <xdr:to>
      <xdr:col>12</xdr:col>
      <xdr:colOff>434340</xdr:colOff>
      <xdr:row>8</xdr:row>
      <xdr:rowOff>0</xdr:rowOff>
    </xdr:to>
    <xdr:sp macro="" textlink="Анализ!L2">
      <xdr:nvSpPr>
        <xdr:cNvPr id="23" name="TextBox 22">
          <a:extLst>
            <a:ext uri="{FF2B5EF4-FFF2-40B4-BE49-F238E27FC236}">
              <a16:creationId xmlns:a16="http://schemas.microsoft.com/office/drawing/2014/main" id="{00923889-888B-8A9C-3BB1-70D2B99D2850}"/>
            </a:ext>
          </a:extLst>
        </xdr:cNvPr>
        <xdr:cNvSpPr txBox="1"/>
      </xdr:nvSpPr>
      <xdr:spPr>
        <a:xfrm>
          <a:off x="6652260" y="982980"/>
          <a:ext cx="1097280" cy="480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BEE4B6-953C-4AE9-9FE0-08AC2EB7B850}" type="TxLink">
            <a:rPr lang="en-US" sz="2800" b="1" i="0" u="none" strike="noStrike">
              <a:solidFill>
                <a:srgbClr val="05310A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/>
            <a:t>20,5%</a:t>
          </a:fld>
          <a:endParaRPr lang="ru-RU" sz="2800" b="1">
            <a:solidFill>
              <a:srgbClr val="05310A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144780</xdr:colOff>
      <xdr:row>5</xdr:row>
      <xdr:rowOff>68580</xdr:rowOff>
    </xdr:from>
    <xdr:to>
      <xdr:col>13</xdr:col>
      <xdr:colOff>38100</xdr:colOff>
      <xdr:row>7</xdr:row>
      <xdr:rowOff>129540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A25B5F3-DA00-4877-B9F6-97EE00140096}"/>
            </a:ext>
          </a:extLst>
        </xdr:cNvPr>
        <xdr:cNvSpPr txBox="1"/>
      </xdr:nvSpPr>
      <xdr:spPr>
        <a:xfrm>
          <a:off x="7459980" y="982980"/>
          <a:ext cx="50292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2800" b="1">
              <a:solidFill>
                <a:srgbClr val="05310A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%</a:t>
          </a:r>
        </a:p>
      </xdr:txBody>
    </xdr:sp>
    <xdr:clientData/>
  </xdr:twoCellAnchor>
  <xdr:twoCellAnchor>
    <xdr:from>
      <xdr:col>0</xdr:col>
      <xdr:colOff>236220</xdr:colOff>
      <xdr:row>9</xdr:row>
      <xdr:rowOff>83821</xdr:rowOff>
    </xdr:from>
    <xdr:to>
      <xdr:col>6</xdr:col>
      <xdr:colOff>510540</xdr:colOff>
      <xdr:row>20</xdr:row>
      <xdr:rowOff>160020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208D5751-7744-47D6-A5B7-85459B4EC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9</xdr:row>
      <xdr:rowOff>91440</xdr:rowOff>
    </xdr:from>
    <xdr:to>
      <xdr:col>13</xdr:col>
      <xdr:colOff>419100</xdr:colOff>
      <xdr:row>20</xdr:row>
      <xdr:rowOff>160019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DD864436-FFEE-413C-8718-4D4857B82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243840</xdr:colOff>
      <xdr:row>21</xdr:row>
      <xdr:rowOff>167640</xdr:rowOff>
    </xdr:from>
    <xdr:to>
      <xdr:col>6</xdr:col>
      <xdr:colOff>510540</xdr:colOff>
      <xdr:row>34</xdr:row>
      <xdr:rowOff>114300</xdr:rowOff>
    </xdr:to>
    <xdr:graphicFrame macro="">
      <xdr:nvGraphicFramePr>
        <xdr:cNvPr id="27" name="Диаграмма 26">
          <a:extLst>
            <a:ext uri="{FF2B5EF4-FFF2-40B4-BE49-F238E27FC236}">
              <a16:creationId xmlns:a16="http://schemas.microsoft.com/office/drawing/2014/main" id="{A0B2DB59-9BD3-4EC9-BAB3-6674AB0D3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83820</xdr:colOff>
      <xdr:row>21</xdr:row>
      <xdr:rowOff>175260</xdr:rowOff>
    </xdr:from>
    <xdr:to>
      <xdr:col>13</xdr:col>
      <xdr:colOff>419100</xdr:colOff>
      <xdr:row>34</xdr:row>
      <xdr:rowOff>129540</xdr:rowOff>
    </xdr:to>
    <xdr:graphicFrame macro="">
      <xdr:nvGraphicFramePr>
        <xdr:cNvPr id="28" name="Диаграмма 27">
          <a:extLst>
            <a:ext uri="{FF2B5EF4-FFF2-40B4-BE49-F238E27FC236}">
              <a16:creationId xmlns:a16="http://schemas.microsoft.com/office/drawing/2014/main" id="{CE71320C-882E-4688-938A-970EF2EDA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274320</xdr:colOff>
      <xdr:row>4</xdr:row>
      <xdr:rowOff>121920</xdr:rowOff>
    </xdr:from>
    <xdr:to>
      <xdr:col>0</xdr:col>
      <xdr:colOff>449580</xdr:colOff>
      <xdr:row>5</xdr:row>
      <xdr:rowOff>99060</xdr:rowOff>
    </xdr:to>
    <xdr:sp macro="" textlink="">
      <xdr:nvSpPr>
        <xdr:cNvPr id="31" name="Овал 30">
          <a:extLst>
            <a:ext uri="{FF2B5EF4-FFF2-40B4-BE49-F238E27FC236}">
              <a16:creationId xmlns:a16="http://schemas.microsoft.com/office/drawing/2014/main" id="{355798EA-A29C-2B53-75E3-AB82E4FB4B38}"/>
            </a:ext>
          </a:extLst>
        </xdr:cNvPr>
        <xdr:cNvSpPr/>
      </xdr:nvSpPr>
      <xdr:spPr>
        <a:xfrm>
          <a:off x="274320" y="853440"/>
          <a:ext cx="175260" cy="160020"/>
        </a:xfrm>
        <a:prstGeom prst="ellipse">
          <a:avLst/>
        </a:prstGeom>
        <a:solidFill>
          <a:srgbClr val="EAF6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0</xdr:col>
      <xdr:colOff>289560</xdr:colOff>
      <xdr:row>4</xdr:row>
      <xdr:rowOff>129540</xdr:rowOff>
    </xdr:from>
    <xdr:to>
      <xdr:col>0</xdr:col>
      <xdr:colOff>426720</xdr:colOff>
      <xdr:row>5</xdr:row>
      <xdr:rowOff>83820</xdr:rowOff>
    </xdr:to>
    <xdr:pic>
      <xdr:nvPicPr>
        <xdr:cNvPr id="30" name="Рисунок 29" descr="Сигнал со сплошной заливкой">
          <a:extLst>
            <a:ext uri="{FF2B5EF4-FFF2-40B4-BE49-F238E27FC236}">
              <a16:creationId xmlns:a16="http://schemas.microsoft.com/office/drawing/2014/main" id="{24D21959-D39E-0ADB-CCF5-43874A04A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89560" y="861060"/>
          <a:ext cx="137160" cy="137160"/>
        </a:xfrm>
        <a:prstGeom prst="rect">
          <a:avLst/>
        </a:prstGeom>
      </xdr:spPr>
    </xdr:pic>
    <xdr:clientData/>
  </xdr:twoCellAnchor>
  <xdr:twoCellAnchor>
    <xdr:from>
      <xdr:col>3</xdr:col>
      <xdr:colOff>510540</xdr:colOff>
      <xdr:row>4</xdr:row>
      <xdr:rowOff>144780</xdr:rowOff>
    </xdr:from>
    <xdr:to>
      <xdr:col>4</xdr:col>
      <xdr:colOff>76200</xdr:colOff>
      <xdr:row>5</xdr:row>
      <xdr:rowOff>121920</xdr:rowOff>
    </xdr:to>
    <xdr:sp macro="" textlink="">
      <xdr:nvSpPr>
        <xdr:cNvPr id="33" name="Овал 32">
          <a:extLst>
            <a:ext uri="{FF2B5EF4-FFF2-40B4-BE49-F238E27FC236}">
              <a16:creationId xmlns:a16="http://schemas.microsoft.com/office/drawing/2014/main" id="{2B1583F2-F94A-4D6F-8285-33A85F8FE561}"/>
            </a:ext>
          </a:extLst>
        </xdr:cNvPr>
        <xdr:cNvSpPr/>
      </xdr:nvSpPr>
      <xdr:spPr>
        <a:xfrm>
          <a:off x="2339340" y="876300"/>
          <a:ext cx="175260" cy="160020"/>
        </a:xfrm>
        <a:prstGeom prst="ellipse">
          <a:avLst/>
        </a:prstGeom>
        <a:solidFill>
          <a:srgbClr val="EAF6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3</xdr:col>
      <xdr:colOff>533400</xdr:colOff>
      <xdr:row>4</xdr:row>
      <xdr:rowOff>152400</xdr:rowOff>
    </xdr:from>
    <xdr:to>
      <xdr:col>4</xdr:col>
      <xdr:colOff>76200</xdr:colOff>
      <xdr:row>5</xdr:row>
      <xdr:rowOff>121920</xdr:rowOff>
    </xdr:to>
    <xdr:pic>
      <xdr:nvPicPr>
        <xdr:cNvPr id="35" name="Рисунок 34" descr="Монеты контур">
          <a:extLst>
            <a:ext uri="{FF2B5EF4-FFF2-40B4-BE49-F238E27FC236}">
              <a16:creationId xmlns:a16="http://schemas.microsoft.com/office/drawing/2014/main" id="{DDC45471-DDA9-B10E-5E51-E110CEFAF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362200" y="883920"/>
          <a:ext cx="152400" cy="152400"/>
        </a:xfrm>
        <a:prstGeom prst="rect">
          <a:avLst/>
        </a:prstGeom>
      </xdr:spPr>
    </xdr:pic>
    <xdr:clientData/>
  </xdr:twoCellAnchor>
  <xdr:twoCellAnchor>
    <xdr:from>
      <xdr:col>9</xdr:col>
      <xdr:colOff>560898</xdr:colOff>
      <xdr:row>5</xdr:row>
      <xdr:rowOff>116619</xdr:rowOff>
    </xdr:from>
    <xdr:to>
      <xdr:col>10</xdr:col>
      <xdr:colOff>126558</xdr:colOff>
      <xdr:row>6</xdr:row>
      <xdr:rowOff>93758</xdr:rowOff>
    </xdr:to>
    <xdr:sp macro="" textlink="">
      <xdr:nvSpPr>
        <xdr:cNvPr id="38" name="Овал 37">
          <a:extLst>
            <a:ext uri="{FF2B5EF4-FFF2-40B4-BE49-F238E27FC236}">
              <a16:creationId xmlns:a16="http://schemas.microsoft.com/office/drawing/2014/main" id="{A2CAC1C1-5018-46E3-8C98-5D31DF8F5D37}"/>
            </a:ext>
          </a:extLst>
        </xdr:cNvPr>
        <xdr:cNvSpPr/>
      </xdr:nvSpPr>
      <xdr:spPr>
        <a:xfrm>
          <a:off x="6047298" y="1021494"/>
          <a:ext cx="175260" cy="158114"/>
        </a:xfrm>
        <a:prstGeom prst="ellipse">
          <a:avLst/>
        </a:prstGeom>
        <a:solidFill>
          <a:srgbClr val="EAF6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9</xdr:col>
      <xdr:colOff>576491</xdr:colOff>
      <xdr:row>5</xdr:row>
      <xdr:rowOff>119519</xdr:rowOff>
    </xdr:from>
    <xdr:to>
      <xdr:col>10</xdr:col>
      <xdr:colOff>119291</xdr:colOff>
      <xdr:row>6</xdr:row>
      <xdr:rowOff>89038</xdr:rowOff>
    </xdr:to>
    <xdr:pic>
      <xdr:nvPicPr>
        <xdr:cNvPr id="40" name="Рисунок 39" descr="Хранилище контур">
          <a:extLst>
            <a:ext uri="{FF2B5EF4-FFF2-40B4-BE49-F238E27FC236}">
              <a16:creationId xmlns:a16="http://schemas.microsoft.com/office/drawing/2014/main" id="{EC0B867F-1687-4A40-9D7B-3DF7E0CBC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062891" y="1024394"/>
          <a:ext cx="152400" cy="150494"/>
        </a:xfrm>
        <a:prstGeom prst="rect">
          <a:avLst/>
        </a:prstGeom>
      </xdr:spPr>
    </xdr:pic>
    <xdr:clientData/>
  </xdr:twoCellAnchor>
  <xdr:twoCellAnchor>
    <xdr:from>
      <xdr:col>13</xdr:col>
      <xdr:colOff>218661</xdr:colOff>
      <xdr:row>5</xdr:row>
      <xdr:rowOff>106017</xdr:rowOff>
    </xdr:from>
    <xdr:to>
      <xdr:col>13</xdr:col>
      <xdr:colOff>393921</xdr:colOff>
      <xdr:row>6</xdr:row>
      <xdr:rowOff>83156</xdr:rowOff>
    </xdr:to>
    <xdr:sp macro="" textlink="">
      <xdr:nvSpPr>
        <xdr:cNvPr id="41" name="Овал 40">
          <a:extLst>
            <a:ext uri="{FF2B5EF4-FFF2-40B4-BE49-F238E27FC236}">
              <a16:creationId xmlns:a16="http://schemas.microsoft.com/office/drawing/2014/main" id="{C0A101E2-967F-4BD5-9959-E206FE7BBCF9}"/>
            </a:ext>
          </a:extLst>
        </xdr:cNvPr>
        <xdr:cNvSpPr/>
      </xdr:nvSpPr>
      <xdr:spPr>
        <a:xfrm>
          <a:off x="8143461" y="1033669"/>
          <a:ext cx="175260" cy="162670"/>
        </a:xfrm>
        <a:prstGeom prst="ellipse">
          <a:avLst/>
        </a:prstGeom>
        <a:solidFill>
          <a:srgbClr val="EAF6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13</xdr:col>
      <xdr:colOff>220717</xdr:colOff>
      <xdr:row>5</xdr:row>
      <xdr:rowOff>99849</xdr:rowOff>
    </xdr:from>
    <xdr:to>
      <xdr:col>13</xdr:col>
      <xdr:colOff>388883</xdr:colOff>
      <xdr:row>6</xdr:row>
      <xdr:rowOff>84084</xdr:rowOff>
    </xdr:to>
    <xdr:pic>
      <xdr:nvPicPr>
        <xdr:cNvPr id="43" name="Рисунок 42" descr="Тенденция к повышению контур">
          <a:extLst>
            <a:ext uri="{FF2B5EF4-FFF2-40B4-BE49-F238E27FC236}">
              <a16:creationId xmlns:a16="http://schemas.microsoft.com/office/drawing/2014/main" id="{8588D493-0C82-1498-1AB9-B10EA2E22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8145517" y="1019504"/>
          <a:ext cx="168166" cy="168166"/>
        </a:xfrm>
        <a:prstGeom prst="rect">
          <a:avLst/>
        </a:prstGeom>
      </xdr:spPr>
    </xdr:pic>
    <xdr:clientData/>
  </xdr:twoCellAnchor>
  <xdr:twoCellAnchor>
    <xdr:from>
      <xdr:col>0</xdr:col>
      <xdr:colOff>301925</xdr:colOff>
      <xdr:row>4</xdr:row>
      <xdr:rowOff>34505</xdr:rowOff>
    </xdr:from>
    <xdr:to>
      <xdr:col>3</xdr:col>
      <xdr:colOff>120770</xdr:colOff>
      <xdr:row>4</xdr:row>
      <xdr:rowOff>34505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2ADEF7DD-3B1C-E328-E266-EB84A952FE93}"/>
            </a:ext>
          </a:extLst>
        </xdr:cNvPr>
        <xdr:cNvCxnSpPr/>
      </xdr:nvCxnSpPr>
      <xdr:spPr>
        <a:xfrm>
          <a:off x="301925" y="770626"/>
          <a:ext cx="1647645" cy="0"/>
        </a:xfrm>
        <a:prstGeom prst="line">
          <a:avLst/>
        </a:prstGeom>
        <a:ln>
          <a:solidFill>
            <a:srgbClr val="2F8F3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583721</xdr:colOff>
      <xdr:row>4</xdr:row>
      <xdr:rowOff>39624</xdr:rowOff>
    </xdr:from>
    <xdr:to>
      <xdr:col>6</xdr:col>
      <xdr:colOff>374904</xdr:colOff>
      <xdr:row>4</xdr:row>
      <xdr:rowOff>43132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02EDB56D-A16B-404C-9BC3-7B8A6075B04E}"/>
            </a:ext>
          </a:extLst>
        </xdr:cNvPr>
        <xdr:cNvCxnSpPr/>
      </xdr:nvCxnSpPr>
      <xdr:spPr>
        <a:xfrm flipV="1">
          <a:off x="2412521" y="775745"/>
          <a:ext cx="1619983" cy="3508"/>
        </a:xfrm>
        <a:prstGeom prst="line">
          <a:avLst/>
        </a:prstGeom>
        <a:ln>
          <a:solidFill>
            <a:srgbClr val="2F8F3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194227</xdr:colOff>
      <xdr:row>4</xdr:row>
      <xdr:rowOff>38911</xdr:rowOff>
    </xdr:from>
    <xdr:to>
      <xdr:col>10</xdr:col>
      <xdr:colOff>25940</xdr:colOff>
      <xdr:row>4</xdr:row>
      <xdr:rowOff>42044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00ACE36D-608F-46DB-90ED-FDFC3B7456D1}"/>
            </a:ext>
          </a:extLst>
        </xdr:cNvPr>
        <xdr:cNvCxnSpPr/>
      </xdr:nvCxnSpPr>
      <xdr:spPr>
        <a:xfrm flipV="1">
          <a:off x="4461427" y="765243"/>
          <a:ext cx="1660513" cy="3133"/>
        </a:xfrm>
        <a:prstGeom prst="line">
          <a:avLst/>
        </a:prstGeom>
        <a:ln>
          <a:solidFill>
            <a:srgbClr val="2F8F3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508958</xdr:colOff>
      <xdr:row>4</xdr:row>
      <xdr:rowOff>37380</xdr:rowOff>
    </xdr:from>
    <xdr:to>
      <xdr:col>13</xdr:col>
      <xdr:colOff>313427</xdr:colOff>
      <xdr:row>4</xdr:row>
      <xdr:rowOff>37381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48B64B69-AE5D-4D2F-8258-393BA37ADFC1}"/>
            </a:ext>
          </a:extLst>
        </xdr:cNvPr>
        <xdr:cNvCxnSpPr/>
      </xdr:nvCxnSpPr>
      <xdr:spPr>
        <a:xfrm flipV="1">
          <a:off x="6604958" y="773501"/>
          <a:ext cx="1633269" cy="1"/>
        </a:xfrm>
        <a:prstGeom prst="line">
          <a:avLst/>
        </a:prstGeom>
        <a:ln>
          <a:solidFill>
            <a:srgbClr val="2F8F3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1071;\Downloads\X5_analysis_2021_2025_FINAL.xlsx" TargetMode="External"/><Relationship Id="rId1" Type="http://schemas.openxmlformats.org/officeDocument/2006/relationships/externalLinkPath" Target="file:///C:\Users\&#1071;\Downloads\X5_analysis_2021_2025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Источники"/>
      <sheetName val="Основные_Данные"/>
      <sheetName val="Форматы"/>
      <sheetName val="Сводная_по_сетям"/>
      <sheetName val="Анализ"/>
      <sheetName val="Дашборд"/>
    </sheetNames>
    <sheetDataSet>
      <sheetData sheetId="0" refreshError="1"/>
      <sheetData sheetId="1">
        <row r="2">
          <cell r="A2">
            <v>2021</v>
          </cell>
          <cell r="C2">
            <v>2205</v>
          </cell>
          <cell r="E2">
            <v>0.251</v>
          </cell>
          <cell r="F2">
            <v>164.4</v>
          </cell>
          <cell r="G2">
            <v>7.4999999999999997E-2</v>
          </cell>
          <cell r="H2">
            <v>52.4</v>
          </cell>
          <cell r="I2">
            <v>2.4E-2</v>
          </cell>
          <cell r="J2">
            <v>8296</v>
          </cell>
          <cell r="K2">
            <v>19067</v>
          </cell>
          <cell r="L2">
            <v>5707</v>
          </cell>
        </row>
        <row r="3">
          <cell r="A3">
            <v>2022</v>
          </cell>
          <cell r="C3">
            <v>2605</v>
          </cell>
          <cell r="E3">
            <v>0.24099999999999999</v>
          </cell>
          <cell r="F3">
            <v>190.5</v>
          </cell>
          <cell r="G3">
            <v>7.2999999999999995E-2</v>
          </cell>
          <cell r="H3">
            <v>51.2</v>
          </cell>
          <cell r="I3">
            <v>0.02</v>
          </cell>
          <cell r="J3">
            <v>9015</v>
          </cell>
          <cell r="K3">
            <v>21259</v>
          </cell>
          <cell r="L3">
            <v>6299</v>
          </cell>
        </row>
        <row r="4">
          <cell r="A4">
            <v>2023</v>
          </cell>
          <cell r="C4">
            <v>3146</v>
          </cell>
          <cell r="E4">
            <v>0.24099999999999999</v>
          </cell>
          <cell r="F4">
            <v>218.5</v>
          </cell>
          <cell r="G4">
            <v>6.9000000000000006E-2</v>
          </cell>
          <cell r="H4">
            <v>90.3</v>
          </cell>
          <cell r="I4">
            <v>2.9000000000000001E-2</v>
          </cell>
          <cell r="J4">
            <v>10109</v>
          </cell>
          <cell r="K4">
            <v>24390</v>
          </cell>
          <cell r="L4">
            <v>7296</v>
          </cell>
        </row>
        <row r="5">
          <cell r="A5">
            <v>2024</v>
          </cell>
          <cell r="C5">
            <v>3908</v>
          </cell>
          <cell r="E5">
            <v>0.24</v>
          </cell>
          <cell r="F5">
            <v>256.10000000000002</v>
          </cell>
          <cell r="G5">
            <v>6.6000000000000003E-2</v>
          </cell>
          <cell r="H5">
            <v>110.1</v>
          </cell>
          <cell r="I5">
            <v>2.8000000000000001E-2</v>
          </cell>
          <cell r="J5">
            <v>10961</v>
          </cell>
          <cell r="K5">
            <v>26920</v>
          </cell>
          <cell r="L5">
            <v>8157</v>
          </cell>
        </row>
        <row r="6">
          <cell r="A6">
            <v>2025</v>
          </cell>
          <cell r="C6">
            <v>4642</v>
          </cell>
          <cell r="E6">
            <v>0.23799999999999999</v>
          </cell>
          <cell r="F6">
            <v>285.5</v>
          </cell>
          <cell r="G6">
            <v>6.0999999999999999E-2</v>
          </cell>
          <cell r="H6">
            <v>94.8</v>
          </cell>
          <cell r="I6">
            <v>0.02</v>
          </cell>
          <cell r="J6">
            <v>11912</v>
          </cell>
          <cell r="K6">
            <v>29790</v>
          </cell>
          <cell r="L6">
            <v>8834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940E-DF66-41BD-A81B-A2DD2D2451CF}">
  <dimension ref="A1:L25"/>
  <sheetViews>
    <sheetView workbookViewId="0">
      <selection activeCell="K18" sqref="K18"/>
    </sheetView>
  </sheetViews>
  <sheetFormatPr defaultRowHeight="14.4"/>
  <cols>
    <col min="1" max="1" width="10.77734375" style="3" customWidth="1"/>
    <col min="2" max="4" width="10.77734375" style="32" customWidth="1"/>
    <col min="5" max="9" width="10.77734375" style="3" customWidth="1"/>
    <col min="10" max="12" width="10.77734375" style="33" customWidth="1"/>
  </cols>
  <sheetData>
    <row r="1" spans="1:12" ht="55.2">
      <c r="A1" s="15" t="s">
        <v>1</v>
      </c>
      <c r="B1" s="16" t="s">
        <v>2</v>
      </c>
      <c r="C1" s="16" t="s">
        <v>3</v>
      </c>
      <c r="D1" s="16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7" t="s">
        <v>10</v>
      </c>
      <c r="K1" s="17" t="s">
        <v>11</v>
      </c>
      <c r="L1" s="17" t="s">
        <v>12</v>
      </c>
    </row>
    <row r="2" spans="1:12">
      <c r="A2" s="18">
        <v>2021</v>
      </c>
      <c r="B2" s="19">
        <v>2194</v>
      </c>
      <c r="C2" s="19">
        <v>2205</v>
      </c>
      <c r="D2" s="20">
        <v>553.4</v>
      </c>
      <c r="E2" s="21">
        <v>0.251</v>
      </c>
      <c r="F2" s="20">
        <v>164.4</v>
      </c>
      <c r="G2" s="22">
        <v>7.4999999999999997E-2</v>
      </c>
      <c r="H2" s="20">
        <v>52.4</v>
      </c>
      <c r="I2" s="22">
        <v>2.4E-2</v>
      </c>
      <c r="J2" s="19">
        <v>8296</v>
      </c>
      <c r="K2" s="19">
        <v>19067</v>
      </c>
      <c r="L2" s="19">
        <v>5707</v>
      </c>
    </row>
    <row r="3" spans="1:12">
      <c r="A3" s="23">
        <v>2022</v>
      </c>
      <c r="B3" s="24">
        <v>2596</v>
      </c>
      <c r="C3" s="24">
        <v>2605</v>
      </c>
      <c r="D3" s="25">
        <v>626.70000000000005</v>
      </c>
      <c r="E3" s="26">
        <v>0.24099999999999999</v>
      </c>
      <c r="F3" s="25">
        <v>190.5</v>
      </c>
      <c r="G3" s="27">
        <v>7.2999999999999995E-2</v>
      </c>
      <c r="H3" s="25">
        <v>51.2</v>
      </c>
      <c r="I3" s="27">
        <v>0.02</v>
      </c>
      <c r="J3" s="24">
        <v>9015</v>
      </c>
      <c r="K3" s="24">
        <v>21259</v>
      </c>
      <c r="L3" s="24">
        <v>6299</v>
      </c>
    </row>
    <row r="4" spans="1:12">
      <c r="A4" s="18">
        <v>2023</v>
      </c>
      <c r="B4" s="19">
        <v>3129</v>
      </c>
      <c r="C4" s="19">
        <v>3146</v>
      </c>
      <c r="D4" s="20">
        <v>757.8</v>
      </c>
      <c r="E4" s="21">
        <v>0.24099999999999999</v>
      </c>
      <c r="F4" s="20">
        <v>218.5</v>
      </c>
      <c r="G4" s="22">
        <v>6.9000000000000006E-2</v>
      </c>
      <c r="H4" s="20">
        <v>90.3</v>
      </c>
      <c r="I4" s="22">
        <v>2.9000000000000001E-2</v>
      </c>
      <c r="J4" s="19">
        <v>10109</v>
      </c>
      <c r="K4" s="19">
        <v>24390</v>
      </c>
      <c r="L4" s="19">
        <v>7296</v>
      </c>
    </row>
    <row r="5" spans="1:12">
      <c r="A5" s="23">
        <v>2024</v>
      </c>
      <c r="B5" s="24">
        <v>3880</v>
      </c>
      <c r="C5" s="24">
        <v>3908</v>
      </c>
      <c r="D5" s="25">
        <v>937.5</v>
      </c>
      <c r="E5" s="26">
        <v>0.24</v>
      </c>
      <c r="F5" s="25">
        <v>256.10000000000002</v>
      </c>
      <c r="G5" s="27">
        <v>6.6000000000000003E-2</v>
      </c>
      <c r="H5" s="25">
        <v>110.1</v>
      </c>
      <c r="I5" s="27">
        <v>2.8000000000000001E-2</v>
      </c>
      <c r="J5" s="24">
        <v>10961</v>
      </c>
      <c r="K5" s="24">
        <v>26920</v>
      </c>
      <c r="L5" s="24">
        <v>8157</v>
      </c>
    </row>
    <row r="6" spans="1:12">
      <c r="A6" s="18">
        <v>2025</v>
      </c>
      <c r="B6" s="19">
        <v>4589</v>
      </c>
      <c r="C6" s="19">
        <v>4642</v>
      </c>
      <c r="D6" s="20">
        <v>1104.9000000000001</v>
      </c>
      <c r="E6" s="21">
        <v>0.23799999999999999</v>
      </c>
      <c r="F6" s="20">
        <v>285.5</v>
      </c>
      <c r="G6" s="22">
        <v>6.0999999999999999E-2</v>
      </c>
      <c r="H6" s="20">
        <v>94.8</v>
      </c>
      <c r="I6" s="22">
        <v>0.02</v>
      </c>
      <c r="J6" s="19">
        <v>11912</v>
      </c>
      <c r="K6" s="19">
        <v>29790</v>
      </c>
      <c r="L6" s="19">
        <v>8834</v>
      </c>
    </row>
    <row r="13" spans="1:12">
      <c r="I13" s="1"/>
      <c r="J13" s="11"/>
    </row>
    <row r="14" spans="1:12">
      <c r="I14" s="2"/>
      <c r="J14" s="10"/>
    </row>
    <row r="15" spans="1:12">
      <c r="I15" s="2"/>
      <c r="J15" s="10"/>
    </row>
    <row r="16" spans="1:12">
      <c r="I16" s="2"/>
      <c r="J16" s="10"/>
    </row>
    <row r="17" spans="9:10">
      <c r="I17" s="2"/>
      <c r="J17" s="10"/>
    </row>
    <row r="18" spans="9:10">
      <c r="I18" s="2"/>
      <c r="J18" s="10"/>
    </row>
    <row r="19" spans="9:10">
      <c r="I19" s="2"/>
      <c r="J19" s="10"/>
    </row>
    <row r="20" spans="9:10">
      <c r="I20" s="2"/>
      <c r="J20" s="10"/>
    </row>
    <row r="21" spans="9:10">
      <c r="I21" s="2"/>
      <c r="J21" s="10"/>
    </row>
    <row r="22" spans="9:10">
      <c r="I22" s="2"/>
      <c r="J22" s="10"/>
    </row>
    <row r="23" spans="9:10">
      <c r="I23" s="2"/>
      <c r="J23" s="10"/>
    </row>
    <row r="24" spans="9:10">
      <c r="I24" s="2"/>
      <c r="J24" s="10"/>
    </row>
    <row r="25" spans="9:10">
      <c r="I25" s="2"/>
      <c r="J2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4685-ED9B-4774-9E73-FBD49B8F6C66}">
  <dimension ref="A1:W19"/>
  <sheetViews>
    <sheetView zoomScaleNormal="100" workbookViewId="0">
      <selection activeCell="P2" sqref="P2"/>
    </sheetView>
  </sheetViews>
  <sheetFormatPr defaultRowHeight="14.4"/>
  <cols>
    <col min="2" max="2" width="11.77734375" bestFit="1" customWidth="1"/>
    <col min="3" max="3" width="17.77734375" customWidth="1"/>
    <col min="4" max="4" width="11.88671875" customWidth="1"/>
    <col min="5" max="5" width="26.44140625" customWidth="1"/>
    <col min="6" max="6" width="25.77734375" customWidth="1"/>
    <col min="7" max="7" width="16.109375" customWidth="1"/>
    <col min="11" max="11" width="10.44140625" bestFit="1" customWidth="1"/>
    <col min="12" max="12" width="11.6640625" bestFit="1" customWidth="1"/>
    <col min="17" max="17" width="11.44140625" bestFit="1" customWidth="1"/>
    <col min="18" max="18" width="11.88671875" bestFit="1" customWidth="1"/>
  </cols>
  <sheetData>
    <row r="1" spans="1:23" ht="41.4">
      <c r="A1" s="15" t="s">
        <v>1</v>
      </c>
      <c r="B1" s="15" t="s">
        <v>26</v>
      </c>
      <c r="C1" s="15" t="s">
        <v>3</v>
      </c>
      <c r="D1" s="15" t="s">
        <v>25</v>
      </c>
      <c r="E1" s="15" t="s">
        <v>10</v>
      </c>
      <c r="F1" s="15" t="s">
        <v>27</v>
      </c>
      <c r="G1" s="15" t="s">
        <v>18</v>
      </c>
      <c r="H1" s="15" t="s">
        <v>28</v>
      </c>
      <c r="I1" s="15" t="s">
        <v>13</v>
      </c>
      <c r="J1" s="15" t="s">
        <v>15</v>
      </c>
      <c r="K1" s="15" t="s">
        <v>33</v>
      </c>
      <c r="L1" s="15" t="s">
        <v>17</v>
      </c>
      <c r="N1" s="55" t="s">
        <v>26</v>
      </c>
      <c r="O1" s="55" t="s">
        <v>3</v>
      </c>
      <c r="P1" s="55" t="s">
        <v>25</v>
      </c>
      <c r="Q1" s="55" t="s">
        <v>33</v>
      </c>
      <c r="R1" s="55" t="s">
        <v>17</v>
      </c>
      <c r="S1" s="55" t="s">
        <v>18</v>
      </c>
      <c r="T1" s="55" t="s">
        <v>28</v>
      </c>
    </row>
    <row r="2" spans="1:23" ht="28.8">
      <c r="A2" s="34">
        <v>2021</v>
      </c>
      <c r="B2" s="35" t="s">
        <v>29</v>
      </c>
      <c r="C2" s="36">
        <v>1794</v>
      </c>
      <c r="D2" s="37">
        <v>17972</v>
      </c>
      <c r="E2" s="36">
        <v>7048</v>
      </c>
      <c r="F2" s="36">
        <v>5029</v>
      </c>
      <c r="G2" s="36">
        <v>409</v>
      </c>
      <c r="H2" s="38">
        <v>5.6000000000000001E-2</v>
      </c>
      <c r="I2" s="39" t="s">
        <v>34</v>
      </c>
      <c r="J2" s="39" t="s">
        <v>34</v>
      </c>
      <c r="K2" s="40">
        <f>C2*1000/D2</f>
        <v>99.821945248163814</v>
      </c>
      <c r="L2" s="40">
        <f>C2*1000/E2</f>
        <v>254.54029511918276</v>
      </c>
      <c r="N2" s="56" t="s">
        <v>29</v>
      </c>
      <c r="O2" s="57">
        <f>C6</f>
        <v>3614</v>
      </c>
      <c r="P2" s="58">
        <f>D6</f>
        <v>25533</v>
      </c>
      <c r="Q2" s="57">
        <f>K6</f>
        <v>141.54231778482747</v>
      </c>
      <c r="R2" s="57">
        <f>L6</f>
        <v>366.56861750684652</v>
      </c>
      <c r="S2" s="57">
        <f>G6</f>
        <v>555.29999999999995</v>
      </c>
      <c r="T2" s="59">
        <f>H6</f>
        <v>0.106</v>
      </c>
    </row>
    <row r="3" spans="1:23" ht="28.8">
      <c r="A3" s="34">
        <v>2022</v>
      </c>
      <c r="B3" s="35" t="s">
        <v>29</v>
      </c>
      <c r="C3" s="36">
        <v>2137</v>
      </c>
      <c r="D3" s="37">
        <v>19759</v>
      </c>
      <c r="E3" s="36">
        <v>7728</v>
      </c>
      <c r="F3" s="36">
        <v>5559</v>
      </c>
      <c r="G3" s="36">
        <v>441</v>
      </c>
      <c r="H3" s="38">
        <v>0.11700000000000001</v>
      </c>
      <c r="I3" s="39">
        <f>C3/C2-1</f>
        <v>0.19119286510590849</v>
      </c>
      <c r="J3" s="39">
        <f>D3/D2-1</f>
        <v>9.9432450478522227E-2</v>
      </c>
      <c r="K3" s="40">
        <f>C3*1000/D3</f>
        <v>108.1532466217926</v>
      </c>
      <c r="L3" s="36">
        <f>C3*1000/E3</f>
        <v>276.52691511387161</v>
      </c>
      <c r="N3" s="60" t="s">
        <v>30</v>
      </c>
      <c r="O3" s="61">
        <f>C11</f>
        <v>531</v>
      </c>
      <c r="P3" s="62">
        <f>D11</f>
        <v>1004</v>
      </c>
      <c r="Q3" s="61">
        <f t="shared" ref="Q3:R4" si="0">K11</f>
        <v>528.88446215139447</v>
      </c>
      <c r="R3" s="61">
        <f t="shared" si="0"/>
        <v>480.54298642533939</v>
      </c>
      <c r="S3" s="61">
        <f>G11</f>
        <v>873</v>
      </c>
      <c r="T3" s="63">
        <f>H11</f>
        <v>7.6999999999999999E-2</v>
      </c>
    </row>
    <row r="4" spans="1:23">
      <c r="A4" s="34">
        <v>2023</v>
      </c>
      <c r="B4" s="35" t="s">
        <v>29</v>
      </c>
      <c r="C4" s="36">
        <v>2571</v>
      </c>
      <c r="D4" s="37">
        <v>21918</v>
      </c>
      <c r="E4" s="36">
        <v>8582</v>
      </c>
      <c r="F4" s="36">
        <v>6391</v>
      </c>
      <c r="G4" s="36">
        <v>461</v>
      </c>
      <c r="H4" s="38">
        <v>9.8000000000000004E-2</v>
      </c>
      <c r="I4" s="39">
        <f t="shared" ref="I4:J16" si="1">C4/C3-1</f>
        <v>0.20308844174075813</v>
      </c>
      <c r="J4" s="39">
        <f t="shared" si="1"/>
        <v>0.10926666329267665</v>
      </c>
      <c r="K4" s="40">
        <f t="shared" ref="K4:K16" si="2">C4*1000/D4</f>
        <v>117.3008486175746</v>
      </c>
      <c r="L4" s="36">
        <f t="shared" ref="L4:L16" si="3">C4*1000/E4</f>
        <v>299.58051736192027</v>
      </c>
      <c r="M4" s="5"/>
      <c r="N4" s="64" t="s">
        <v>31</v>
      </c>
      <c r="O4" s="65">
        <f>C16</f>
        <v>417.5</v>
      </c>
      <c r="P4" s="66">
        <f>D16</f>
        <v>3253</v>
      </c>
      <c r="Q4" s="65">
        <f t="shared" si="0"/>
        <v>40.277777777777779</v>
      </c>
      <c r="R4" s="65">
        <f t="shared" si="0"/>
        <v>142.85714285714286</v>
      </c>
      <c r="S4" s="65">
        <f>G16</f>
        <v>702</v>
      </c>
      <c r="T4" s="67">
        <f>H16</f>
        <v>0.26100000000000001</v>
      </c>
    </row>
    <row r="5" spans="1:23">
      <c r="A5" s="34">
        <v>2024</v>
      </c>
      <c r="B5" s="35" t="s">
        <v>29</v>
      </c>
      <c r="C5" s="36">
        <v>3114</v>
      </c>
      <c r="D5" s="37">
        <v>23588</v>
      </c>
      <c r="E5" s="36">
        <v>9178</v>
      </c>
      <c r="F5" s="36">
        <v>7002</v>
      </c>
      <c r="G5" s="36">
        <v>510</v>
      </c>
      <c r="H5" s="38">
        <v>0.14000000000000001</v>
      </c>
      <c r="I5" s="39">
        <f t="shared" si="1"/>
        <v>0.21120186697782972</v>
      </c>
      <c r="J5" s="39">
        <f t="shared" si="1"/>
        <v>7.6193083310521104E-2</v>
      </c>
      <c r="K5" s="40">
        <f t="shared" si="2"/>
        <v>132.0162794641343</v>
      </c>
      <c r="L5" s="36">
        <f t="shared" si="3"/>
        <v>339.28960557855743</v>
      </c>
      <c r="M5" s="4"/>
      <c r="N5" s="4"/>
      <c r="O5" s="8"/>
    </row>
    <row r="6" spans="1:23">
      <c r="A6" s="34">
        <v>2025</v>
      </c>
      <c r="B6" s="35" t="s">
        <v>29</v>
      </c>
      <c r="C6" s="36">
        <v>3614</v>
      </c>
      <c r="D6" s="37">
        <v>25533</v>
      </c>
      <c r="E6" s="36">
        <v>9859</v>
      </c>
      <c r="F6" s="36">
        <v>7465</v>
      </c>
      <c r="G6" s="36">
        <v>555.29999999999995</v>
      </c>
      <c r="H6" s="38">
        <v>0.106</v>
      </c>
      <c r="I6" s="39">
        <f t="shared" si="1"/>
        <v>0.16056518946692355</v>
      </c>
      <c r="J6" s="39">
        <f t="shared" si="1"/>
        <v>8.2457181617771713E-2</v>
      </c>
      <c r="K6" s="40">
        <f t="shared" si="2"/>
        <v>141.54231778482747</v>
      </c>
      <c r="L6" s="36">
        <f t="shared" si="3"/>
        <v>366.56861750684652</v>
      </c>
      <c r="M6" s="4"/>
      <c r="N6" s="4"/>
      <c r="O6" s="8"/>
    </row>
    <row r="7" spans="1:23">
      <c r="A7" s="41">
        <v>2021</v>
      </c>
      <c r="B7" s="42" t="s">
        <v>30</v>
      </c>
      <c r="C7" s="43">
        <v>349</v>
      </c>
      <c r="D7" s="44">
        <v>990</v>
      </c>
      <c r="E7" s="43">
        <v>1099</v>
      </c>
      <c r="F7" s="43">
        <v>636</v>
      </c>
      <c r="G7" s="43">
        <v>626</v>
      </c>
      <c r="H7" s="45">
        <v>3.7999999999999999E-2</v>
      </c>
      <c r="I7" s="46" t="s">
        <v>34</v>
      </c>
      <c r="J7" s="46" t="s">
        <v>34</v>
      </c>
      <c r="K7" s="47">
        <f>C7*1000/D7</f>
        <v>352.52525252525254</v>
      </c>
      <c r="L7" s="43">
        <f>C7*1000/E7</f>
        <v>317.56141947224751</v>
      </c>
      <c r="M7" s="4"/>
      <c r="N7" s="4"/>
      <c r="O7" s="8"/>
      <c r="P7" s="5"/>
      <c r="R7" s="5"/>
      <c r="S7" s="1"/>
      <c r="T7" s="5"/>
      <c r="U7" s="5"/>
      <c r="V7" s="5"/>
      <c r="W7" s="5"/>
    </row>
    <row r="8" spans="1:23">
      <c r="A8" s="41">
        <v>2022</v>
      </c>
      <c r="B8" s="42" t="s">
        <v>30</v>
      </c>
      <c r="C8" s="43">
        <v>385</v>
      </c>
      <c r="D8" s="44">
        <v>971</v>
      </c>
      <c r="E8" s="43">
        <v>1085</v>
      </c>
      <c r="F8" s="43">
        <v>658</v>
      </c>
      <c r="G8" s="43">
        <v>671</v>
      </c>
      <c r="H8" s="45">
        <v>7.0999999999999994E-2</v>
      </c>
      <c r="I8" s="46">
        <f t="shared" si="1"/>
        <v>0.1031518624641834</v>
      </c>
      <c r="J8" s="46">
        <f t="shared" si="1"/>
        <v>-1.9191919191919204E-2</v>
      </c>
      <c r="K8" s="47">
        <f t="shared" si="2"/>
        <v>396.49845520082391</v>
      </c>
      <c r="L8" s="43">
        <f t="shared" si="3"/>
        <v>354.83870967741933</v>
      </c>
      <c r="M8" s="4"/>
      <c r="N8" s="4"/>
      <c r="O8" s="8"/>
      <c r="P8" s="4"/>
      <c r="R8" s="4"/>
      <c r="S8" s="2"/>
      <c r="T8" s="4"/>
      <c r="U8" s="4"/>
      <c r="V8" s="4"/>
      <c r="W8" s="4"/>
    </row>
    <row r="9" spans="1:23">
      <c r="A9" s="41">
        <v>2023</v>
      </c>
      <c r="B9" s="42" t="s">
        <v>30</v>
      </c>
      <c r="C9" s="43">
        <v>419</v>
      </c>
      <c r="D9" s="44">
        <v>972</v>
      </c>
      <c r="E9" s="43">
        <v>1085</v>
      </c>
      <c r="F9" s="43">
        <v>672</v>
      </c>
      <c r="G9" s="43">
        <v>713</v>
      </c>
      <c r="H9" s="45">
        <v>8.3000000000000004E-2</v>
      </c>
      <c r="I9" s="46">
        <f t="shared" si="1"/>
        <v>8.8311688311688341E-2</v>
      </c>
      <c r="J9" s="46">
        <f t="shared" si="1"/>
        <v>1.029866117404632E-3</v>
      </c>
      <c r="K9" s="47">
        <f t="shared" si="2"/>
        <v>431.06995884773664</v>
      </c>
      <c r="L9" s="43">
        <f t="shared" si="3"/>
        <v>386.17511520737327</v>
      </c>
      <c r="M9" s="4"/>
      <c r="N9" s="4"/>
      <c r="O9" s="8"/>
      <c r="P9" s="4"/>
      <c r="R9" s="4"/>
      <c r="S9" s="2"/>
      <c r="T9" s="4"/>
      <c r="U9" s="4"/>
      <c r="V9" s="4"/>
      <c r="W9" s="4"/>
    </row>
    <row r="10" spans="1:23">
      <c r="A10" s="41">
        <v>2024</v>
      </c>
      <c r="B10" s="42" t="s">
        <v>30</v>
      </c>
      <c r="C10" s="43">
        <v>491</v>
      </c>
      <c r="D10" s="44">
        <v>986</v>
      </c>
      <c r="E10" s="43">
        <v>1096</v>
      </c>
      <c r="F10" s="43">
        <v>706</v>
      </c>
      <c r="G10" s="43">
        <v>794</v>
      </c>
      <c r="H10" s="45">
        <v>0.14499999999999999</v>
      </c>
      <c r="I10" s="46">
        <f t="shared" si="1"/>
        <v>0.17183770883054894</v>
      </c>
      <c r="J10" s="46">
        <f t="shared" si="1"/>
        <v>1.4403292181069949E-2</v>
      </c>
      <c r="K10" s="47">
        <f t="shared" si="2"/>
        <v>497.97160243407706</v>
      </c>
      <c r="L10" s="43">
        <f t="shared" si="3"/>
        <v>447.99270072992698</v>
      </c>
      <c r="M10" s="4"/>
      <c r="N10" s="4"/>
      <c r="O10" s="8"/>
      <c r="P10" s="4"/>
    </row>
    <row r="11" spans="1:23">
      <c r="A11" s="41">
        <v>2025</v>
      </c>
      <c r="B11" s="42" t="s">
        <v>30</v>
      </c>
      <c r="C11" s="43">
        <v>531</v>
      </c>
      <c r="D11" s="44">
        <v>1004</v>
      </c>
      <c r="E11" s="43">
        <v>1105</v>
      </c>
      <c r="F11" s="43">
        <v>694</v>
      </c>
      <c r="G11" s="43">
        <v>873</v>
      </c>
      <c r="H11" s="45">
        <v>7.6999999999999999E-2</v>
      </c>
      <c r="I11" s="46">
        <f t="shared" si="1"/>
        <v>8.1466395112016254E-2</v>
      </c>
      <c r="J11" s="46">
        <f t="shared" si="1"/>
        <v>1.8255578093306246E-2</v>
      </c>
      <c r="K11" s="47">
        <f t="shared" si="2"/>
        <v>528.88446215139447</v>
      </c>
      <c r="L11" s="43">
        <f t="shared" si="3"/>
        <v>480.54298642533939</v>
      </c>
      <c r="M11" s="4"/>
      <c r="N11" s="4"/>
      <c r="O11" s="8"/>
      <c r="P11" s="4"/>
    </row>
    <row r="12" spans="1:23">
      <c r="A12" s="48">
        <v>2021</v>
      </c>
      <c r="B12" s="49" t="s">
        <v>31</v>
      </c>
      <c r="C12" s="50">
        <v>2.9</v>
      </c>
      <c r="D12" s="51">
        <v>72</v>
      </c>
      <c r="E12" s="50">
        <v>20.3</v>
      </c>
      <c r="F12" s="50">
        <v>5.9</v>
      </c>
      <c r="G12" s="50">
        <v>568</v>
      </c>
      <c r="H12" s="52" t="s">
        <v>32</v>
      </c>
      <c r="I12" s="53" t="s">
        <v>34</v>
      </c>
      <c r="J12" s="53" t="s">
        <v>34</v>
      </c>
      <c r="K12" s="54">
        <f>C12*1000/D12</f>
        <v>40.277777777777779</v>
      </c>
      <c r="L12" s="50">
        <f>C12*1000/E12</f>
        <v>142.85714285714286</v>
      </c>
      <c r="M12" s="4"/>
      <c r="N12" s="4"/>
      <c r="O12" s="8"/>
      <c r="P12" s="4"/>
    </row>
    <row r="13" spans="1:23">
      <c r="A13" s="48">
        <v>2022</v>
      </c>
      <c r="B13" s="49" t="s">
        <v>31</v>
      </c>
      <c r="C13" s="50">
        <v>35.9</v>
      </c>
      <c r="D13" s="51">
        <v>517</v>
      </c>
      <c r="E13" s="50">
        <v>152.4</v>
      </c>
      <c r="F13" s="50">
        <v>64.8</v>
      </c>
      <c r="G13" s="50">
        <v>630</v>
      </c>
      <c r="H13" s="52" t="s">
        <v>32</v>
      </c>
      <c r="I13" s="53">
        <f t="shared" si="1"/>
        <v>11.379310344827585</v>
      </c>
      <c r="J13" s="53">
        <f t="shared" si="1"/>
        <v>6.1805555555555554</v>
      </c>
      <c r="K13" s="54">
        <f t="shared" si="2"/>
        <v>69.439071566731144</v>
      </c>
      <c r="L13" s="50">
        <f t="shared" si="3"/>
        <v>235.56430446194224</v>
      </c>
      <c r="M13" s="4"/>
      <c r="N13" s="4"/>
      <c r="O13" s="8"/>
    </row>
    <row r="14" spans="1:23">
      <c r="A14" s="48">
        <v>2023</v>
      </c>
      <c r="B14" s="49" t="s">
        <v>31</v>
      </c>
      <c r="C14" s="50">
        <v>118.4</v>
      </c>
      <c r="D14" s="51">
        <v>1500</v>
      </c>
      <c r="E14" s="50">
        <v>442.1</v>
      </c>
      <c r="F14" s="50">
        <v>231.9</v>
      </c>
      <c r="G14" s="50">
        <v>580</v>
      </c>
      <c r="H14" s="52" t="s">
        <v>32</v>
      </c>
      <c r="I14" s="53">
        <f t="shared" si="1"/>
        <v>2.2980501392757664</v>
      </c>
      <c r="J14" s="53">
        <f t="shared" si="1"/>
        <v>1.9013539651837523</v>
      </c>
      <c r="K14" s="54">
        <f t="shared" si="2"/>
        <v>78.933333333333337</v>
      </c>
      <c r="L14" s="50">
        <f t="shared" si="3"/>
        <v>267.8127120560959</v>
      </c>
      <c r="M14" s="4"/>
      <c r="N14" s="4"/>
      <c r="O14" s="8"/>
    </row>
    <row r="15" spans="1:23">
      <c r="A15" s="48">
        <v>2024</v>
      </c>
      <c r="B15" s="49" t="s">
        <v>31</v>
      </c>
      <c r="C15" s="50">
        <v>249.5</v>
      </c>
      <c r="D15" s="51">
        <v>2346</v>
      </c>
      <c r="E15" s="50">
        <v>686.7</v>
      </c>
      <c r="F15" s="50">
        <v>449</v>
      </c>
      <c r="G15" s="50">
        <v>631</v>
      </c>
      <c r="H15" s="52" t="s">
        <v>32</v>
      </c>
      <c r="I15" s="53">
        <f t="shared" si="1"/>
        <v>1.1072635135135136</v>
      </c>
      <c r="J15" s="53">
        <f t="shared" si="1"/>
        <v>0.56400000000000006</v>
      </c>
      <c r="K15" s="54">
        <f t="shared" si="2"/>
        <v>106.35123614663257</v>
      </c>
      <c r="L15" s="50">
        <f t="shared" si="3"/>
        <v>363.33187709334499</v>
      </c>
      <c r="M15" s="4"/>
      <c r="N15" s="4"/>
      <c r="O15" s="4"/>
    </row>
    <row r="16" spans="1:23">
      <c r="A16" s="48">
        <v>2025</v>
      </c>
      <c r="B16" s="49" t="s">
        <v>31</v>
      </c>
      <c r="C16" s="50">
        <v>417.5</v>
      </c>
      <c r="D16" s="51">
        <v>3253</v>
      </c>
      <c r="E16" s="50">
        <v>947.5</v>
      </c>
      <c r="F16" s="50">
        <v>675.4</v>
      </c>
      <c r="G16" s="50">
        <v>702</v>
      </c>
      <c r="H16" s="52">
        <v>0.26100000000000001</v>
      </c>
      <c r="I16" s="53">
        <f t="shared" si="1"/>
        <v>0.67334669338677355</v>
      </c>
      <c r="J16" s="53">
        <f t="shared" si="1"/>
        <v>0.38661551577152609</v>
      </c>
      <c r="K16" s="54">
        <f t="shared" si="2"/>
        <v>128.34306793728865</v>
      </c>
      <c r="L16" s="50">
        <f t="shared" si="3"/>
        <v>440.63324538258576</v>
      </c>
      <c r="M16" s="4"/>
      <c r="N16" s="4"/>
      <c r="O16" s="4"/>
    </row>
    <row r="17" spans="12:15">
      <c r="L17" s="2"/>
      <c r="M17" s="4"/>
      <c r="N17" s="4"/>
      <c r="O17" s="4"/>
    </row>
    <row r="18" spans="12:15">
      <c r="L18" s="2"/>
      <c r="M18" s="4"/>
      <c r="N18" s="4"/>
      <c r="O18" s="4"/>
    </row>
    <row r="19" spans="12:15">
      <c r="M19" s="4"/>
      <c r="N19" s="4"/>
      <c r="O1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2308-3934-4597-8FAC-D87100102A90}">
  <dimension ref="A1:M18"/>
  <sheetViews>
    <sheetView workbookViewId="0">
      <selection activeCell="C18" sqref="C18"/>
    </sheetView>
  </sheetViews>
  <sheetFormatPr defaultRowHeight="14.4"/>
  <cols>
    <col min="1" max="1" width="30.77734375" bestFit="1" customWidth="1"/>
    <col min="2" max="2" width="20.33203125" bestFit="1" customWidth="1"/>
    <col min="3" max="3" width="10.21875" bestFit="1" customWidth="1"/>
    <col min="4" max="4" width="6.77734375" bestFit="1" customWidth="1"/>
    <col min="5" max="5" width="11.33203125" bestFit="1" customWidth="1"/>
  </cols>
  <sheetData>
    <row r="1" spans="1:13" ht="18">
      <c r="A1" s="68" t="s">
        <v>36</v>
      </c>
      <c r="B1" s="68"/>
      <c r="C1" s="68"/>
      <c r="D1" s="68"/>
      <c r="E1" s="68"/>
    </row>
    <row r="3" spans="1:13">
      <c r="A3" s="69"/>
      <c r="B3" s="69" t="s">
        <v>29</v>
      </c>
      <c r="C3" s="69" t="s">
        <v>30</v>
      </c>
      <c r="D3" s="69" t="s">
        <v>31</v>
      </c>
      <c r="E3" s="69" t="s">
        <v>37</v>
      </c>
      <c r="G3" s="1"/>
      <c r="H3" s="5"/>
      <c r="I3" s="5"/>
      <c r="J3" s="5"/>
      <c r="K3" s="5"/>
      <c r="L3" s="5"/>
      <c r="M3" s="5"/>
    </row>
    <row r="4" spans="1:13">
      <c r="A4" s="69" t="s">
        <v>38</v>
      </c>
      <c r="B4" s="69"/>
      <c r="C4" s="69"/>
      <c r="D4" s="69"/>
      <c r="E4" s="69" t="s">
        <v>37</v>
      </c>
      <c r="G4" s="2"/>
      <c r="H4" s="4"/>
      <c r="I4" s="4"/>
      <c r="J4" s="4"/>
      <c r="K4" s="4"/>
      <c r="L4" s="4"/>
      <c r="M4" s="8"/>
    </row>
    <row r="5" spans="1:13">
      <c r="A5" s="70" t="s">
        <v>39</v>
      </c>
      <c r="B5" s="71">
        <v>1794</v>
      </c>
      <c r="C5" s="71">
        <v>349</v>
      </c>
      <c r="D5" s="71">
        <v>2.9</v>
      </c>
      <c r="E5" s="71">
        <v>2145.9</v>
      </c>
      <c r="G5" s="2"/>
      <c r="H5" s="4"/>
      <c r="I5" s="4"/>
      <c r="J5" s="4"/>
      <c r="K5" s="4"/>
      <c r="L5" s="4"/>
      <c r="M5" s="8"/>
    </row>
    <row r="6" spans="1:13">
      <c r="A6" s="72" t="s">
        <v>40</v>
      </c>
      <c r="B6" s="73">
        <v>2137</v>
      </c>
      <c r="C6" s="73">
        <v>385</v>
      </c>
      <c r="D6" s="73">
        <v>35.9</v>
      </c>
      <c r="E6" s="73">
        <v>2557.9</v>
      </c>
      <c r="G6" s="2"/>
      <c r="H6" s="4"/>
      <c r="I6" s="4"/>
      <c r="J6" s="4"/>
      <c r="K6" s="4"/>
      <c r="L6" s="4"/>
      <c r="M6" s="8"/>
    </row>
    <row r="7" spans="1:13">
      <c r="A7" s="70" t="s">
        <v>41</v>
      </c>
      <c r="B7" s="71">
        <v>2571</v>
      </c>
      <c r="C7" s="71">
        <v>419</v>
      </c>
      <c r="D7" s="71">
        <v>118.4</v>
      </c>
      <c r="E7" s="71">
        <v>3108.4</v>
      </c>
    </row>
    <row r="8" spans="1:13">
      <c r="A8" s="72" t="s">
        <v>42</v>
      </c>
      <c r="B8" s="73">
        <v>3114</v>
      </c>
      <c r="C8" s="73">
        <v>491</v>
      </c>
      <c r="D8" s="73">
        <v>249.5</v>
      </c>
      <c r="E8" s="73">
        <v>3854.5</v>
      </c>
    </row>
    <row r="9" spans="1:13">
      <c r="A9" s="70" t="s">
        <v>43</v>
      </c>
      <c r="B9" s="71">
        <v>3614</v>
      </c>
      <c r="C9" s="71">
        <v>531</v>
      </c>
      <c r="D9" s="71">
        <v>417.5</v>
      </c>
      <c r="E9" s="71">
        <v>4562.5</v>
      </c>
    </row>
    <row r="10" spans="1:13">
      <c r="A10" s="72" t="s">
        <v>37</v>
      </c>
      <c r="B10" s="73">
        <v>13230</v>
      </c>
      <c r="C10" s="73">
        <v>2175</v>
      </c>
      <c r="D10" s="73">
        <v>824.2</v>
      </c>
      <c r="E10" s="73">
        <v>16229.199999999999</v>
      </c>
    </row>
    <row r="13" spans="1:13">
      <c r="A13" s="1"/>
      <c r="B13" s="5"/>
      <c r="C13" s="5"/>
      <c r="D13" s="5"/>
    </row>
    <row r="14" spans="1:13">
      <c r="A14" s="2"/>
      <c r="B14" s="9"/>
      <c r="C14" s="9"/>
      <c r="D14" s="9"/>
    </row>
    <row r="15" spans="1:13">
      <c r="A15" s="2"/>
      <c r="B15" s="9"/>
      <c r="C15" s="9"/>
      <c r="D15" s="9"/>
    </row>
    <row r="16" spans="1:13">
      <c r="A16" s="2"/>
      <c r="B16" s="9"/>
      <c r="C16" s="9"/>
      <c r="D16" s="9"/>
    </row>
    <row r="17" spans="1:4">
      <c r="A17" s="2"/>
      <c r="B17" s="9"/>
      <c r="C17" s="9"/>
      <c r="D17" s="9"/>
    </row>
    <row r="18" spans="1:4">
      <c r="A18" s="2"/>
      <c r="B18" s="9"/>
      <c r="C18" s="9"/>
      <c r="D18" s="9"/>
    </row>
  </sheetData>
  <pageMargins left="0.7" right="0.7" top="0.75" bottom="0.75" header="0.3" footer="0.3"/>
  <ignoredErrors>
    <ignoredError sqref="A5:A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2574-4F0B-4EAF-A923-58295E060F9C}">
  <dimension ref="A1:R13"/>
  <sheetViews>
    <sheetView zoomScale="115" zoomScaleNormal="115" workbookViewId="0">
      <selection activeCell="I14" sqref="I14"/>
    </sheetView>
  </sheetViews>
  <sheetFormatPr defaultRowHeight="14.4"/>
  <cols>
    <col min="11" max="11" width="13.21875" customWidth="1"/>
    <col min="12" max="12" width="11.6640625" customWidth="1"/>
  </cols>
  <sheetData>
    <row r="1" spans="1:18" s="7" customFormat="1" ht="55.2">
      <c r="A1" s="15" t="s">
        <v>1</v>
      </c>
      <c r="B1" s="15" t="s">
        <v>13</v>
      </c>
      <c r="C1" s="15" t="s">
        <v>14</v>
      </c>
      <c r="D1" s="15" t="s">
        <v>15</v>
      </c>
      <c r="E1" s="15" t="s">
        <v>16</v>
      </c>
      <c r="F1" s="15" t="s">
        <v>17</v>
      </c>
      <c r="G1" s="15" t="s">
        <v>18</v>
      </c>
      <c r="H1" s="15" t="s">
        <v>7</v>
      </c>
      <c r="I1" s="15" t="s">
        <v>19</v>
      </c>
      <c r="J1"/>
      <c r="K1" s="74" t="s">
        <v>0</v>
      </c>
      <c r="L1" s="74" t="s">
        <v>20</v>
      </c>
      <c r="M1"/>
      <c r="N1"/>
      <c r="O1"/>
      <c r="P1"/>
      <c r="Q1"/>
      <c r="R1"/>
    </row>
    <row r="2" spans="1:18">
      <c r="A2" s="28">
        <v>2021</v>
      </c>
      <c r="B2" s="29" t="s">
        <v>34</v>
      </c>
      <c r="C2" s="29" t="s">
        <v>34</v>
      </c>
      <c r="D2" s="29" t="s">
        <v>34</v>
      </c>
      <c r="E2" s="75">
        <f>[1]Основные_Данные!C2*1000/[1]Основные_Данные!K2</f>
        <v>115.64483138406671</v>
      </c>
      <c r="F2" s="75">
        <f>[1]Основные_Данные!C2*1000/[1]Основные_Данные!J2</f>
        <v>265.79074252651878</v>
      </c>
      <c r="G2" s="75">
        <f>[1]Основные_Данные!C2*1000/[1]Основные_Данные!L2</f>
        <v>386.36761871386017</v>
      </c>
      <c r="H2" s="29">
        <f>[1]Основные_Данные!G2</f>
        <v>7.4999999999999997E-2</v>
      </c>
      <c r="I2" s="29">
        <f>[1]Основные_Данные!I2</f>
        <v>2.4E-2</v>
      </c>
      <c r="K2" s="76" t="s">
        <v>21</v>
      </c>
      <c r="L2" s="87">
        <f>([1]Основные_Данные!C6/[1]Основные_Данные!C2)^(1/4)-1</f>
        <v>0.20454806853780028</v>
      </c>
    </row>
    <row r="3" spans="1:18" ht="28.8">
      <c r="A3" s="30">
        <v>2022</v>
      </c>
      <c r="B3" s="31">
        <f>[1]Основные_Данные!C3/[1]Основные_Данные!C2-1</f>
        <v>0.18140589569161003</v>
      </c>
      <c r="C3" s="31">
        <f>[1]Основные_Данные!H3/[1]Основные_Данные!H2-1</f>
        <v>-2.2900763358778553E-2</v>
      </c>
      <c r="D3" s="31">
        <f>[1]Основные_Данные!K3/[1]Основные_Данные!K2-1</f>
        <v>0.11496302512193846</v>
      </c>
      <c r="E3" s="77">
        <f>[1]Основные_Данные!C3*1000/[1]Основные_Данные!K3</f>
        <v>122.5363375511548</v>
      </c>
      <c r="F3" s="77">
        <f>[1]Основные_Данные!C3*1000/[1]Основные_Данные!J3</f>
        <v>288.96283971159181</v>
      </c>
      <c r="G3" s="77">
        <f>[1]Основные_Данные!C3*1000/[1]Основные_Данные!L3</f>
        <v>413.55770757263059</v>
      </c>
      <c r="H3" s="31">
        <f>[1]Основные_Данные!G3</f>
        <v>7.2999999999999995E-2</v>
      </c>
      <c r="I3" s="31">
        <f>[1]Основные_Данные!I3</f>
        <v>0.02</v>
      </c>
      <c r="K3" s="76" t="s">
        <v>11</v>
      </c>
      <c r="L3" s="87">
        <f>([1]Основные_Данные!K6/[1]Основные_Данные!K2)^(1/4)-1</f>
        <v>0.11801346519238209</v>
      </c>
    </row>
    <row r="4" spans="1:18" ht="28.8">
      <c r="A4" s="28">
        <v>2023</v>
      </c>
      <c r="B4" s="29">
        <f>[1]Основные_Данные!C4/[1]Основные_Данные!C3-1</f>
        <v>0.20767754318618037</v>
      </c>
      <c r="C4" s="29">
        <f>[1]Основные_Данные!H4/[1]Основные_Данные!H3-1</f>
        <v>0.76367187499999978</v>
      </c>
      <c r="D4" s="29">
        <f>[1]Основные_Данные!K4/[1]Основные_Данные!K3-1</f>
        <v>0.14727879956724221</v>
      </c>
      <c r="E4" s="75">
        <f>[1]Основные_Данные!C4*1000/[1]Основные_Данные!K4</f>
        <v>128.98728987289874</v>
      </c>
      <c r="F4" s="75">
        <f>[1]Основные_Данные!C4*1000/[1]Основные_Данные!J4</f>
        <v>311.20783460282917</v>
      </c>
      <c r="G4" s="75">
        <f>[1]Основные_Данные!C4*1000/[1]Основные_Данные!L4</f>
        <v>431.19517543859649</v>
      </c>
      <c r="H4" s="29">
        <f>[1]Основные_Данные!G4</f>
        <v>6.9000000000000006E-2</v>
      </c>
      <c r="I4" s="29">
        <f>[1]Основные_Данные!I4</f>
        <v>2.9000000000000001E-2</v>
      </c>
      <c r="K4" s="76" t="s">
        <v>22</v>
      </c>
      <c r="L4" s="87">
        <f>([1]Основные_Данные!H6/[1]Основные_Данные!H2)^(1/4)-1</f>
        <v>0.15976303547048332</v>
      </c>
    </row>
    <row r="5" spans="1:18" ht="28.8">
      <c r="A5" s="30">
        <v>2024</v>
      </c>
      <c r="B5" s="31">
        <f>[1]Основные_Данные!C5/[1]Основные_Данные!C4-1</f>
        <v>0.24221233312142409</v>
      </c>
      <c r="C5" s="31">
        <f>[1]Основные_Данные!H5/[1]Основные_Данные!H4-1</f>
        <v>0.2192691029900331</v>
      </c>
      <c r="D5" s="31">
        <f>[1]Основные_Данные!K5/[1]Основные_Данные!K4-1</f>
        <v>0.10373103731037303</v>
      </c>
      <c r="E5" s="77">
        <f>[1]Основные_Данные!C5*1000/[1]Основные_Данные!K5</f>
        <v>145.17087667161962</v>
      </c>
      <c r="F5" s="77">
        <f>[1]Основные_Данные!C5*1000/[1]Основные_Данные!J5</f>
        <v>356.53681233464101</v>
      </c>
      <c r="G5" s="77">
        <f>[1]Основные_Данные!C5*1000/[1]Основные_Данные!L5</f>
        <v>479.09770749049898</v>
      </c>
      <c r="H5" s="31">
        <f>[1]Основные_Данные!G5</f>
        <v>6.6000000000000003E-2</v>
      </c>
      <c r="I5" s="31">
        <f>[1]Основные_Данные!I5</f>
        <v>2.8000000000000001E-2</v>
      </c>
      <c r="K5" s="76" t="s">
        <v>23</v>
      </c>
      <c r="L5" s="87">
        <f>([1]Основные_Данные!J6/[1]Основные_Данные!J2)^(1/4)-1</f>
        <v>9.4659335918227949E-2</v>
      </c>
    </row>
    <row r="6" spans="1:18">
      <c r="A6" s="28">
        <v>2025</v>
      </c>
      <c r="B6" s="29">
        <f>[1]Основные_Данные!C6/[1]Основные_Данные!C5-1</f>
        <v>0.18781985670419643</v>
      </c>
      <c r="C6" s="29">
        <f>[1]Основные_Данные!H6/[1]Основные_Данные!H5-1</f>
        <v>-0.13896457765667569</v>
      </c>
      <c r="D6" s="29">
        <f>[1]Основные_Данные!K6/[1]Основные_Данные!K5-1</f>
        <v>0.10661218424962859</v>
      </c>
      <c r="E6" s="75">
        <f>[1]Основные_Данные!C6*1000/[1]Основные_Данные!K6</f>
        <v>155.824102047667</v>
      </c>
      <c r="F6" s="75">
        <f>[1]Основные_Данные!C6*1000/[1]Основные_Данные!J6</f>
        <v>389.69106783075893</v>
      </c>
      <c r="G6" s="75">
        <f>[1]Основные_Данные!C6*1000/[1]Основные_Данные!L6</f>
        <v>525.46977586597234</v>
      </c>
      <c r="H6" s="29">
        <f>[1]Основные_Данные!G6</f>
        <v>6.0999999999999999E-2</v>
      </c>
      <c r="I6" s="29">
        <f>[1]Основные_Данные!I6</f>
        <v>0.02</v>
      </c>
      <c r="K6" s="2"/>
      <c r="L6" s="6"/>
    </row>
    <row r="7" spans="1:18">
      <c r="K7" s="78" t="s">
        <v>44</v>
      </c>
      <c r="L7" s="78"/>
      <c r="M7" s="78"/>
      <c r="N7" s="78"/>
      <c r="O7" s="78"/>
      <c r="P7" s="78"/>
      <c r="Q7" s="78"/>
      <c r="R7" s="78"/>
    </row>
    <row r="8" spans="1:18" ht="28.8">
      <c r="K8" s="79" t="s">
        <v>1</v>
      </c>
      <c r="L8" s="79" t="s">
        <v>21</v>
      </c>
      <c r="M8" s="79" t="s">
        <v>24</v>
      </c>
      <c r="N8" s="79" t="s">
        <v>22</v>
      </c>
      <c r="O8" s="79" t="s">
        <v>25</v>
      </c>
      <c r="P8" s="79" t="s">
        <v>5</v>
      </c>
      <c r="Q8" s="79" t="s">
        <v>7</v>
      </c>
      <c r="R8" s="79" t="s">
        <v>9</v>
      </c>
    </row>
    <row r="9" spans="1:18">
      <c r="K9" s="88">
        <f>[1]Основные_Данные!A2</f>
        <v>2021</v>
      </c>
      <c r="L9" s="80">
        <f>[1]Основные_Данные!C2</f>
        <v>2205</v>
      </c>
      <c r="M9" s="80">
        <f>[1]Основные_Данные!F2</f>
        <v>164.4</v>
      </c>
      <c r="N9" s="80">
        <f>[1]Основные_Данные!H2</f>
        <v>52.4</v>
      </c>
      <c r="O9" s="81">
        <f>[1]Основные_Данные!K2</f>
        <v>19067</v>
      </c>
      <c r="P9" s="82">
        <f>[1]Основные_Данные!E2</f>
        <v>0.251</v>
      </c>
      <c r="Q9" s="82">
        <f>[1]Основные_Данные!G2</f>
        <v>7.4999999999999997E-2</v>
      </c>
      <c r="R9" s="82">
        <f>[1]Основные_Данные!I2</f>
        <v>2.4E-2</v>
      </c>
    </row>
    <row r="10" spans="1:18">
      <c r="K10" s="89">
        <f>[1]Основные_Данные!A3</f>
        <v>2022</v>
      </c>
      <c r="L10" s="83">
        <f>[1]Основные_Данные!C3</f>
        <v>2605</v>
      </c>
      <c r="M10" s="83">
        <f>[1]Основные_Данные!F3</f>
        <v>190.5</v>
      </c>
      <c r="N10" s="83">
        <f>[1]Основные_Данные!H3</f>
        <v>51.2</v>
      </c>
      <c r="O10" s="84">
        <f>[1]Основные_Данные!K3</f>
        <v>21259</v>
      </c>
      <c r="P10" s="85">
        <f>[1]Основные_Данные!E3</f>
        <v>0.24099999999999999</v>
      </c>
      <c r="Q10" s="85">
        <f>[1]Основные_Данные!G3</f>
        <v>7.2999999999999995E-2</v>
      </c>
      <c r="R10" s="85">
        <f>[1]Основные_Данные!I3</f>
        <v>0.02</v>
      </c>
    </row>
    <row r="11" spans="1:18" ht="15">
      <c r="F11" s="86"/>
      <c r="K11" s="88">
        <f>[1]Основные_Данные!A4</f>
        <v>2023</v>
      </c>
      <c r="L11" s="80">
        <f>[1]Основные_Данные!C4</f>
        <v>3146</v>
      </c>
      <c r="M11" s="80">
        <f>[1]Основные_Данные!F4</f>
        <v>218.5</v>
      </c>
      <c r="N11" s="80">
        <f>[1]Основные_Данные!H4</f>
        <v>90.3</v>
      </c>
      <c r="O11" s="81">
        <f>[1]Основные_Данные!K4</f>
        <v>24390</v>
      </c>
      <c r="P11" s="82">
        <f>[1]Основные_Данные!E4</f>
        <v>0.24099999999999999</v>
      </c>
      <c r="Q11" s="82">
        <f>[1]Основные_Данные!G4</f>
        <v>6.9000000000000006E-2</v>
      </c>
      <c r="R11" s="82">
        <f>[1]Основные_Данные!I4</f>
        <v>2.9000000000000001E-2</v>
      </c>
    </row>
    <row r="12" spans="1:18">
      <c r="K12" s="89">
        <f>[1]Основные_Данные!A5</f>
        <v>2024</v>
      </c>
      <c r="L12" s="83">
        <f>[1]Основные_Данные!C5</f>
        <v>3908</v>
      </c>
      <c r="M12" s="83">
        <f>[1]Основные_Данные!F5</f>
        <v>256.10000000000002</v>
      </c>
      <c r="N12" s="83">
        <f>[1]Основные_Данные!H5</f>
        <v>110.1</v>
      </c>
      <c r="O12" s="84">
        <f>[1]Основные_Данные!K5</f>
        <v>26920</v>
      </c>
      <c r="P12" s="85">
        <f>[1]Основные_Данные!E5</f>
        <v>0.24</v>
      </c>
      <c r="Q12" s="85">
        <f>[1]Основные_Данные!G5</f>
        <v>6.6000000000000003E-2</v>
      </c>
      <c r="R12" s="85">
        <f>[1]Основные_Данные!I5</f>
        <v>2.8000000000000001E-2</v>
      </c>
    </row>
    <row r="13" spans="1:18">
      <c r="K13" s="88">
        <f>[1]Основные_Данные!A6</f>
        <v>2025</v>
      </c>
      <c r="L13" s="80">
        <f>[1]Основные_Данные!C6</f>
        <v>4642</v>
      </c>
      <c r="M13" s="80">
        <f>[1]Основные_Данные!F6</f>
        <v>285.5</v>
      </c>
      <c r="N13" s="80">
        <f>[1]Основные_Данные!H6</f>
        <v>94.8</v>
      </c>
      <c r="O13" s="81">
        <f>[1]Основные_Данные!K6</f>
        <v>29790</v>
      </c>
      <c r="P13" s="82">
        <f>[1]Основные_Данные!E6</f>
        <v>0.23799999999999999</v>
      </c>
      <c r="Q13" s="82">
        <f>[1]Основные_Данные!G6</f>
        <v>6.0999999999999999E-2</v>
      </c>
      <c r="R13" s="82">
        <f>[1]Основные_Данные!I6</f>
        <v>0.02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BC86-E406-4F59-9412-8900F5231C18}">
  <dimension ref="A1:N40"/>
  <sheetViews>
    <sheetView tabSelected="1" zoomScale="85" zoomScaleNormal="85" workbookViewId="0">
      <selection activeCell="L44" sqref="L44"/>
    </sheetView>
  </sheetViews>
  <sheetFormatPr defaultRowHeight="14.4"/>
  <sheetData>
    <row r="1" spans="1:1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12"/>
      <c r="B2" s="13" t="s">
        <v>35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>
      <c r="A3" s="12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4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ht="18">
      <c r="A37" s="68" t="s">
        <v>45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</row>
    <row r="38" spans="1:14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</row>
    <row r="39" spans="1:14">
      <c r="A39" s="91" t="s">
        <v>46</v>
      </c>
      <c r="B39" s="91"/>
      <c r="C39" s="91"/>
      <c r="D39" s="91"/>
      <c r="E39" s="91" t="s">
        <v>47</v>
      </c>
      <c r="F39" s="91"/>
      <c r="G39" s="91"/>
      <c r="H39" s="91" t="s">
        <v>48</v>
      </c>
      <c r="I39" s="91"/>
      <c r="J39" s="91"/>
      <c r="K39" s="91" t="s">
        <v>49</v>
      </c>
      <c r="L39" s="91"/>
      <c r="M39" s="91"/>
      <c r="N39" s="91"/>
    </row>
    <row r="40" spans="1:14" ht="70.8" customHeight="1">
      <c r="A40" s="92" t="s">
        <v>50</v>
      </c>
      <c r="B40" s="92"/>
      <c r="C40" s="92"/>
      <c r="D40" s="92"/>
      <c r="E40" s="92" t="s">
        <v>51</v>
      </c>
      <c r="F40" s="92"/>
      <c r="G40" s="92"/>
      <c r="H40" s="92" t="s">
        <v>52</v>
      </c>
      <c r="I40" s="92"/>
      <c r="J40" s="92"/>
      <c r="K40" s="92" t="s">
        <v>53</v>
      </c>
      <c r="L40" s="92"/>
      <c r="M40" s="92"/>
      <c r="N40" s="92"/>
    </row>
  </sheetData>
  <mergeCells count="5">
    <mergeCell ref="B2:N3"/>
    <mergeCell ref="A40:D40"/>
    <mergeCell ref="E40:G40"/>
    <mergeCell ref="H40:J40"/>
    <mergeCell ref="K40:N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Основные_Данные</vt:lpstr>
      <vt:lpstr>Форматы</vt:lpstr>
      <vt:lpstr>Сводная_по_сетям</vt:lpstr>
      <vt:lpstr>Анализ</vt:lpstr>
      <vt:lpstr>Дашборд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Иван Ивенин</cp:lastModifiedBy>
  <dcterms:created xsi:type="dcterms:W3CDTF">2015-06-05T18:19:34Z</dcterms:created>
  <dcterms:modified xsi:type="dcterms:W3CDTF">2026-10-05T20:22:58Z</dcterms:modified>
</cp:coreProperties>
</file>